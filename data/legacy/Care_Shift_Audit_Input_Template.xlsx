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fd65e284d04e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勤務表入力" sheetId="1" r:id="Rdadd019c590545ff"/>
    <x:sheet xmlns:r="http://schemas.openxmlformats.org/officeDocument/2006/relationships" name="職員マスター" sheetId="2" r:id="Rf1d2c442e72744f6"/>
    <x:sheet xmlns:r="http://schemas.openxmlformats.org/officeDocument/2006/relationships" name="施設設定" sheetId="3" r:id="Rf55280a5fcb142a5"/>
    <x:sheet xmlns:r="http://schemas.openxmlformats.org/officeDocument/2006/relationships" name="勤務区分" sheetId="4" r:id="R5fa4800cd4c245ba"/>
    <x:sheet xmlns:r="http://schemas.openxmlformats.org/officeDocument/2006/relationships" name="夜間配置例" sheetId="5" r:id="R9fdba1c35d51431b"/>
    <x:sheet xmlns:r="http://schemas.openxmlformats.org/officeDocument/2006/relationships" name="管理者週間レビュー" sheetId="6" r:id="Rc24ce5b8a6e84ca1"/>
    <x:sheet xmlns:r="http://schemas.openxmlformats.org/officeDocument/2006/relationships" name="週間仮シフト" sheetId="7" r:id="Rd262adb2006f45f5"/>
    <x:sheet xmlns:r="http://schemas.openxmlformats.org/officeDocument/2006/relationships" name="週間夜間配置" sheetId="8" r:id="Rb6c4ae7ae7fd44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0"/>
    <x:numFmt numFmtId="202" formatCode="hh:mm"/>
    <x:numFmt numFmtId="203" formatCode="0.0"/>
    <x:numFmt numFmtId="204" formatCode="d"/>
    <x:numFmt numFmtId="205" formatCode="m/d"/>
  </x:numFmts>
  <x:fonts count="15">
    <x:font>
      <x:sz val="11"/>
      <x:name val="Carlito"/>
    </x:font>
    <x:font>
      <x:b/>
      <x:sz val="14"/>
      <x:color rgb="FF17365D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b/>
      <x:sz val="10"/>
      <x:color rgb="FF17365D"/>
      <x:name val="Arial"/>
    </x:font>
    <x:font>
      <x:b/>
      <x:sz val="9"/>
      <x:color rgb="FFFFFFFF"/>
      <x:name val="Arial"/>
    </x:font>
    <x:font>
      <x:sz val="9"/>
      <x:color rgb="FF222222"/>
      <x:name val="Arial"/>
    </x:font>
    <x:font>
      <x:b/>
      <x:sz val="9"/>
      <x:color rgb="FF17365D"/>
      <x:name val="Arial"/>
    </x:font>
    <x:font>
      <x:sz val="10"/>
      <x:color rgb="FF24364B"/>
      <x:name val="Noto Sans CJK JP"/>
    </x:font>
    <x:font>
      <x:b/>
      <x:sz val="15"/>
      <x:color rgb="FF17365D"/>
      <x:name val="Noto Sans CJK JP"/>
    </x:font>
    <x:font>
      <x:sz val="10"/>
      <x:color rgb="FF5A6776"/>
      <x:name val="Noto Sans CJK JP"/>
    </x:font>
    <x:font>
      <x:b/>
      <x:sz val="10"/>
      <x:color rgb="FFFFFFFF"/>
      <x:name val="Noto Sans CJK JP"/>
    </x:font>
    <x:font>
      <x:b/>
      <x:sz val="10"/>
      <x:color rgb="FF17365D"/>
      <x:name val="Noto Sans CJK JP"/>
    </x:font>
    <x:font>
      <x:sz val="10"/>
      <x:color rgb="FF596777"/>
      <x:name val="Noto Sans CJK JP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EDF5FB"/>
      </x:patternFill>
    </x:fill>
    <x:fill>
      <x:patternFill patternType="solid">
        <x:fgColor rgb="FF17365D"/>
      </x:patternFill>
    </x:fill>
    <x:fill>
      <x:patternFill patternType="solid">
        <x:fgColor rgb="FFEDF5FB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</x:fills>
  <x:borders count="19">
    <x:border/>
    <x:border>
      <x:right style="thin">
        <x:color rgb="FFC9D3DD"/>
      </x:right>
      <x:bottom style="thin">
        <x:color rgb="FFC9D3DD"/>
      </x:bottom>
    </x:border>
    <x:border>
      <x:left style="thin">
        <x:color rgb="FFC9D3DD"/>
      </x:left>
      <x:right style="thin">
        <x:color rgb="FFC9D3DD"/>
      </x:right>
      <x:bottom style="thin">
        <x:color rgb="FFC9D3DD"/>
      </x:bottom>
    </x:border>
    <x:border>
      <x:left style="thin">
        <x:color rgb="FFC9D3DD"/>
      </x:left>
      <x:bottom style="thin">
        <x:color rgb="FFC9D3DD"/>
      </x:bottom>
    </x:border>
    <x:border>
      <x:right style="thin">
        <x:color rgb="FFC9D3DD"/>
      </x:right>
      <x:top style="thin">
        <x:color rgb="FFC9D3DD"/>
      </x:top>
      <x:bottom style="thin">
        <x:color rgb="FFC9D3DD"/>
      </x:bottom>
    </x:border>
    <x:border>
      <x:left style="thin">
        <x:color rgb="FFC9D3DD"/>
      </x:left>
      <x:right style="thin">
        <x:color rgb="FFC9D3DD"/>
      </x:right>
      <x:top style="thin">
        <x:color rgb="FFC9D3DD"/>
      </x:top>
      <x:bottom style="thin">
        <x:color rgb="FFC9D3DD"/>
      </x:bottom>
    </x:border>
    <x:border>
      <x:left style="thin">
        <x:color rgb="FFC9D3DD"/>
      </x:left>
      <x:top style="thin">
        <x:color rgb="FFC9D3DD"/>
      </x:top>
      <x:bottom style="thin">
        <x:color rgb="FFC9D3DD"/>
      </x:bottom>
    </x:border>
    <x:border>
      <x:right style="thin">
        <x:color rgb="FFC9D3DD"/>
      </x:right>
      <x:top style="thin">
        <x:color rgb="FFC9D3DD"/>
      </x:top>
    </x:border>
    <x:border>
      <x:left style="thin">
        <x:color rgb="FFC9D3DD"/>
      </x:left>
      <x:right style="thin">
        <x:color rgb="FFC9D3DD"/>
      </x:right>
      <x:top style="thin">
        <x:color rgb="FFC9D3DD"/>
      </x:top>
    </x:border>
    <x:border>
      <x:left style="thin">
        <x:color rgb="FFC9D3DD"/>
      </x:left>
      <x:top style="thin">
        <x:color rgb="FFC9D3DD"/>
      </x:top>
    </x:border>
    <x:border>
      <x:right style="thin">
        <x:color rgb="FFE1E6EA"/>
      </x:right>
      <x:bottom style="thin">
        <x:color rgb="FFE1E6EA"/>
      </x:bottom>
    </x:border>
    <x:border>
      <x:left style="thin">
        <x:color rgb="FFE1E6EA"/>
      </x:left>
      <x:right style="thin">
        <x:color rgb="FFE1E6EA"/>
      </x:right>
      <x:bottom style="thin">
        <x:color rgb="FFE1E6EA"/>
      </x:bottom>
    </x:border>
    <x:border>
      <x:left style="thin">
        <x:color rgb="FFE1E6EA"/>
      </x:left>
      <x:bottom style="thin">
        <x:color rgb="FFE1E6EA"/>
      </x:bottom>
    </x:border>
    <x:border>
      <x:right style="thin">
        <x:color rgb="FFE1E6EA"/>
      </x:right>
      <x:top style="thin">
        <x:color rgb="FFE1E6EA"/>
      </x:top>
      <x:bottom style="thin">
        <x:color rgb="FFE1E6EA"/>
      </x:bottom>
    </x:border>
    <x:border>
      <x:left style="thin">
        <x:color rgb="FFE1E6EA"/>
      </x:left>
      <x:right style="thin">
        <x:color rgb="FFE1E6EA"/>
      </x:right>
      <x:top style="thin">
        <x:color rgb="FFE1E6EA"/>
      </x:top>
      <x:bottom style="thin">
        <x:color rgb="FFE1E6EA"/>
      </x:bottom>
    </x:border>
    <x:border>
      <x:left style="thin">
        <x:color rgb="FFE1E6EA"/>
      </x:left>
      <x:top style="thin">
        <x:color rgb="FFE1E6EA"/>
      </x:top>
      <x:bottom style="thin">
        <x:color rgb="FFE1E6EA"/>
      </x:bottom>
    </x:border>
    <x:border>
      <x:right style="thin">
        <x:color rgb="FFE1E6EA"/>
      </x:right>
      <x:top style="thin">
        <x:color rgb="FFE1E6EA"/>
      </x:top>
    </x:border>
    <x:border>
      <x:left style="thin">
        <x:color rgb="FFE1E6EA"/>
      </x:left>
      <x:right style="thin">
        <x:color rgb="FFE1E6EA"/>
      </x:right>
      <x:top style="thin">
        <x:color rgb="FFE1E6EA"/>
      </x:top>
    </x:border>
    <x:border>
      <x:left style="thin">
        <x:color rgb="FFE1E6EA"/>
      </x:left>
      <x:top style="thin">
        <x:color rgb="FFE1E6EA"/>
      </x:top>
    </x:border>
  </x:borders>
  <x:cellStyleXfs count="1">
    <x:xf numFmtId="0" fontId="0" fillId="0" borderId="0"/>
  </x:cellStyleXfs>
  <x:cellXfs count="9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0" fontId="4" fillId="0" borderId="9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/>
    </x:xf>
    <x:xf numFmtId="0" fontId="4" fillId="0" borderId="8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4" fillId="3" borderId="5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 applyAlignment="1">
      <x:alignment horizontal="center" vertical="center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 applyAlignment="1">
      <x:alignment horizontal="center" vertical="center"/>
    </x:xf>
    <x:xf numFmtId="0" fontId="7" fillId="0" borderId="10" xfId="0" applyNumberFormat="1" applyFont="1" applyFill="1" applyBorder="1" applyAlignment="1">
      <x:alignment horizontal="center" vertical="center"/>
    </x:xf>
    <x:xf numFmtId="0" fontId="7" fillId="0" borderId="11" xfId="0" applyNumberFormat="1" applyFont="1" applyFill="1" applyBorder="1" applyAlignment="1">
      <x:alignment horizontal="center" vertical="center"/>
    </x:xf>
    <x:xf numFmtId="0" fontId="7" fillId="0" borderId="12" xfId="0" applyNumberFormat="1" applyFont="1" applyFill="1" applyBorder="1" applyAlignment="1">
      <x:alignment horizontal="center" vertical="center"/>
    </x:xf>
    <x:xf numFmtId="0" fontId="7" fillId="0" borderId="13" xfId="0" applyNumberFormat="1" applyFont="1" applyFill="1" applyBorder="1" applyAlignment="1">
      <x:alignment horizontal="center" vertical="center"/>
    </x:xf>
    <x:xf numFmtId="0" fontId="7" fillId="0" borderId="14" xfId="0" applyNumberFormat="1" applyFont="1" applyFill="1" applyBorder="1" applyAlignment="1">
      <x:alignment horizontal="center" vertical="center"/>
    </x:xf>
    <x:xf numFmtId="0" fontId="7" fillId="0" borderId="15" xfId="0" applyNumberFormat="1" applyFont="1" applyFill="1" applyBorder="1" applyAlignment="1">
      <x:alignment horizontal="center" vertical="center"/>
    </x:xf>
    <x:xf numFmtId="0" fontId="7" fillId="0" borderId="16" xfId="0" applyNumberFormat="1" applyFont="1" applyFill="1" applyBorder="1" applyAlignment="1">
      <x:alignment horizontal="center" vertical="center"/>
    </x:xf>
    <x:xf numFmtId="0" fontId="7" fillId="0" borderId="17" xfId="0" applyNumberFormat="1" applyFont="1" applyFill="1" applyBorder="1" applyAlignment="1">
      <x:alignment horizontal="center" vertical="center"/>
    </x:xf>
    <x:xf numFmtId="0" fontId="7" fillId="0" borderId="18" xfId="0" applyNumberFormat="1" applyFont="1" applyFill="1" applyBorder="1" applyAlignment="1">
      <x:alignment horizontal="center" vertical="center"/>
    </x:xf>
    <x:xf numFmtId="0" fontId="7" fillId="4" borderId="10" xfId="0" applyNumberFormat="1" applyFont="1" applyFill="1" applyBorder="1" applyAlignment="1">
      <x:alignment horizontal="center" vertical="center"/>
    </x:xf>
    <x:xf numFmtId="0" fontId="7" fillId="4" borderId="11" xfId="0" applyNumberFormat="1" applyFont="1" applyFill="1" applyBorder="1" applyAlignment="1">
      <x:alignment horizontal="center" vertical="center"/>
    </x:xf>
    <x:xf numFmtId="0" fontId="7" fillId="4" borderId="13" xfId="0" applyNumberFormat="1" applyFont="1" applyFill="1" applyBorder="1" applyAlignment="1">
      <x:alignment horizontal="center" vertical="center"/>
    </x:xf>
    <x:xf numFmtId="0" fontId="7" fillId="4" borderId="14" xfId="0" applyNumberFormat="1" applyFont="1" applyFill="1" applyBorder="1" applyAlignment="1">
      <x:alignment horizontal="center" vertical="center"/>
    </x:xf>
    <x:xf numFmtId="0" fontId="7" fillId="4" borderId="16" xfId="0" applyNumberFormat="1" applyFont="1" applyFill="1" applyBorder="1" applyAlignment="1">
      <x:alignment horizontal="center" vertical="center"/>
    </x:xf>
    <x:xf numFmtId="0" fontId="7" fillId="4" borderId="17" xfId="0" applyNumberFormat="1" applyFont="1" applyFill="1" applyBorder="1" applyAlignment="1">
      <x:alignment horizontal="center" vertical="center"/>
    </x:xf>
    <x:xf numFmtId="0" fontId="8" fillId="4" borderId="10" xfId="0" applyNumberFormat="1" applyFont="1" applyFill="1" applyBorder="1" applyAlignment="1">
      <x:alignment horizontal="center" vertical="center"/>
    </x:xf>
    <x:xf numFmtId="0" fontId="8" fillId="4" borderId="13" xfId="0" applyNumberFormat="1" applyFont="1" applyFill="1" applyBorder="1" applyAlignment="1">
      <x:alignment horizontal="center" vertical="center"/>
    </x:xf>
    <x:xf numFmtId="0" fontId="8" fillId="4" borderId="16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vertical="center"/>
    </x:xf>
    <x:xf numFmtId="0" fontId="9" fillId="5" borderId="0" xfId="0" applyNumberFormat="1" applyFont="1" applyFill="1" applyBorder="1" applyAlignment="1">
      <x:alignment vertical="center"/>
    </x:xf>
    <x:xf numFmtId="0" fontId="12" fillId="5" borderId="0" xfId="0" applyNumberFormat="1" applyFont="1" applyFill="1" applyBorder="1" applyAlignment="1">
      <x:alignment vertical="center"/>
    </x:xf>
    <x:xf numFmtId="0" fontId="12" fillId="5" borderId="0" xfId="0" applyNumberFormat="1" applyFont="1" applyFill="1" applyBorder="1" applyAlignment="1">
      <x:alignment vertical="center" wrapText="1"/>
    </x:xf>
    <x:xf numFmtId="0" fontId="12" fillId="5" borderId="0" xfId="0" applyNumberFormat="1" applyFont="1" applyFill="1" applyBorder="1" applyAlignment="1">
      <x:alignment horizontal="center" vertical="center" wrapText="1"/>
    </x:xf>
    <x:xf numFmtId="0" fontId="9" fillId="6" borderId="0" xfId="0" applyNumberFormat="1" applyFont="1" applyFill="1" applyBorder="1" applyAlignment="1">
      <x:alignment vertical="center"/>
    </x:xf>
    <x:xf numFmtId="0" fontId="13" fillId="6" borderId="0" xfId="0" applyNumberFormat="1" applyFont="1" applyFill="1" applyBorder="1" applyAlignment="1">
      <x:alignment vertical="center"/>
    </x:xf>
    <x:xf numFmtId="0" fontId="13" fillId="0" borderId="0" xfId="0" applyNumberFormat="1" applyFont="1" applyFill="1" applyBorder="1" applyAlignment="1">
      <x:alignment vertical="center"/>
    </x:xf>
    <x:xf numFmtId="200" fontId="9" fillId="6" borderId="0" xfId="0" applyNumberFormat="1" applyFont="1" applyFill="1" applyBorder="1" applyAlignment="1">
      <x:alignment vertical="center"/>
    </x:xf>
    <x:xf numFmtId="200" fontId="9" fillId="0" borderId="0" xfId="0" applyNumberFormat="1" applyFont="1" applyFill="1" applyBorder="1" applyAlignment="1">
      <x:alignment vertical="center"/>
    </x:xf>
    <x:xf numFmtId="201" fontId="9" fillId="6" borderId="0" xfId="0" applyNumberFormat="1" applyFont="1" applyFill="1" applyBorder="1" applyAlignment="1">
      <x:alignment vertical="center"/>
    </x:xf>
    <x:xf numFmtId="201" fontId="9" fillId="0" borderId="0" xfId="0" applyNumberFormat="1" applyFont="1" applyFill="1" applyBorder="1" applyAlignment="1">
      <x:alignment vertical="center"/>
    </x:xf>
    <x:xf numFmtId="0" fontId="9" fillId="7" borderId="0" xfId="0" applyNumberFormat="1" applyFont="1" applyFill="1" applyBorder="1" applyAlignment="1">
      <x:alignment vertical="center"/>
    </x:xf>
    <x:xf numFmtId="202" fontId="9" fillId="0" borderId="0" xfId="0" applyNumberFormat="1" applyFont="1" applyFill="1" applyBorder="1" applyAlignment="1">
      <x:alignment vertical="center"/>
    </x:xf>
    <x:xf numFmtId="203" fontId="9" fillId="0" borderId="0" xfId="0" applyNumberFormat="1" applyFont="1" applyFill="1" applyBorder="1" applyAlignment="1">
      <x:alignment vertical="center"/>
    </x:xf>
    <x:xf numFmtId="202" fontId="9" fillId="7" borderId="0" xfId="0" applyNumberFormat="1" applyFont="1" applyFill="1" applyBorder="1" applyAlignment="1">
      <x:alignment vertical="center"/>
    </x:xf>
    <x:xf numFmtId="203" fontId="9" fillId="7" borderId="0" xfId="0" applyNumberFormat="1" applyFont="1" applyFill="1" applyBorder="1" applyAlignment="1">
      <x:alignment vertical="center"/>
    </x:xf>
    <x:xf numFmtId="204" fontId="9" fillId="0" borderId="0" xfId="0" applyNumberFormat="1" applyFont="1" applyFill="1" applyBorder="1" applyAlignment="1">
      <x:alignment vertical="center"/>
    </x:xf>
    <x:xf numFmtId="204" fontId="9" fillId="5" borderId="0" xfId="0" applyNumberFormat="1" applyFont="1" applyFill="1" applyBorder="1" applyAlignment="1">
      <x:alignment vertical="center"/>
    </x:xf>
    <x:xf numFmtId="204" fontId="12" fillId="5" borderId="0" xfId="0" applyNumberFormat="1" applyFont="1" applyFill="1" applyBorder="1" applyAlignment="1">
      <x:alignment vertical="center"/>
    </x:xf>
    <x:xf numFmtId="204" fontId="12" fillId="5" borderId="0" xfId="0" applyNumberFormat="1" applyFont="1" applyFill="1" applyBorder="1" applyAlignment="1">
      <x:alignment vertical="center" wrapText="1"/>
    </x:xf>
    <x:xf numFmtId="204" fontId="12" fillId="5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horizontal="center" vertical="center"/>
    </x:xf>
    <x:xf numFmtId="0" fontId="9" fillId="6" borderId="0" xfId="0" applyNumberFormat="1" applyFont="1" applyFill="1" applyBorder="1" applyAlignment="1">
      <x:alignment horizontal="center" vertical="center"/>
    </x:xf>
    <x:xf numFmtId="202" fontId="9" fillId="5" borderId="0" xfId="0" applyNumberFormat="1" applyFont="1" applyFill="1" applyBorder="1" applyAlignment="1">
      <x:alignment vertical="center"/>
    </x:xf>
    <x:xf numFmtId="202" fontId="12" fillId="5" borderId="0" xfId="0" applyNumberFormat="1" applyFont="1" applyFill="1" applyBorder="1" applyAlignment="1">
      <x:alignment vertical="center"/>
    </x:xf>
    <x:xf numFmtId="202" fontId="12" fillId="5" borderId="0" xfId="0" applyNumberFormat="1" applyFont="1" applyFill="1" applyBorder="1" applyAlignment="1">
      <x:alignment vertical="center" wrapText="1"/>
    </x:xf>
    <x:xf numFmtId="202" fontId="12" fillId="5" borderId="0" xfId="0" applyNumberFormat="1" applyFont="1" applyFill="1" applyBorder="1" applyAlignment="1">
      <x:alignment horizontal="center" vertical="center" wrapText="1"/>
    </x:xf>
    <x:xf numFmtId="202" fontId="12" fillId="2" borderId="0" xfId="0" applyNumberFormat="1" applyFont="1" applyFill="1" applyBorder="1" applyAlignment="1">
      <x:alignment horizontal="center" vertical="center" wrapText="1"/>
    </x:xf>
    <x:xf numFmtId="0" fontId="14" fillId="0" borderId="0" xfId="0" applyNumberFormat="1" applyFont="1" applyFill="1" applyBorder="1" applyAlignment="1">
      <x:alignment vertical="center"/>
    </x:xf>
    <x:xf numFmtId="205" fontId="9" fillId="0" borderId="0" xfId="0" applyNumberFormat="1" applyFont="1" applyFill="1" applyBorder="1" applyAlignment="1">
      <x:alignment vertical="center"/>
    </x:xf>
    <x:xf numFmtId="0" fontId="9" fillId="8" borderId="0" xfId="0" applyNumberFormat="1" applyFont="1" applyFill="1" applyBorder="1" applyAlignment="1">
      <x:alignment vertical="center"/>
    </x:xf>
    <x:xf numFmtId="205" fontId="9" fillId="8" borderId="0" xfId="0" applyNumberFormat="1" applyFont="1" applyFill="1" applyBorder="1" applyAlignment="1">
      <x:alignment vertical="center"/>
    </x:xf>
    <x:xf numFmtId="0" fontId="12" fillId="8" borderId="0" xfId="0" applyNumberFormat="1" applyFont="1" applyFill="1" applyBorder="1" applyAlignment="1">
      <x:alignment vertical="center"/>
    </x:xf>
    <x:xf numFmtId="205" fontId="12" fillId="8" borderId="0" xfId="0" applyNumberFormat="1" applyFont="1" applyFill="1" applyBorder="1" applyAlignment="1">
      <x:alignment vertical="center"/>
    </x:xf>
    <x:xf numFmtId="0" fontId="12" fillId="8" borderId="0" xfId="0" applyNumberFormat="1" applyFont="1" applyFill="1" applyBorder="1" applyAlignment="1">
      <x:alignment vertical="center" wrapText="1"/>
    </x:xf>
    <x:xf numFmtId="205" fontId="12" fillId="8" borderId="0" xfId="0" applyNumberFormat="1" applyFont="1" applyFill="1" applyBorder="1" applyAlignment="1">
      <x:alignment vertical="center" wrapText="1"/>
    </x:xf>
    <x:xf numFmtId="0" fontId="12" fillId="8" borderId="0" xfId="0" applyNumberFormat="1" applyFont="1" applyFill="1" applyBorder="1" applyAlignment="1">
      <x:alignment horizontal="center" vertical="center" wrapText="1"/>
    </x:xf>
    <x:xf numFmtId="205" fontId="12" fillId="8" borderId="0" xfId="0" applyNumberFormat="1" applyFont="1" applyFill="1" applyBorder="1" applyAlignment="1">
      <x:alignment horizontal="center" vertical="center" wrapText="1"/>
    </x:xf>
    <x:xf numFmtId="202" fontId="12" fillId="8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27">
    <x:dxf>
      <x:font>
        <x:b/>
        <x:color rgb="FF17365D"/>
      </x:font>
      <x:fill>
        <x:patternFill>
          <x:bgColor rgb="FFD9E1F2"/>
        </x:patternFill>
      </x:fill>
    </x:dxf>
    <x:dxf>
      <x:font>
        <x:color rgb="FF666666"/>
      </x:font>
      <x:fill>
        <x:patternFill>
          <x:bgColor rgb="FFE7E6E6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ill>
        <x:patternFill>
          <x:bgColor rgb="FFD9E1F2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7E6E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E4F3F6"/>
        </x:patternFill>
      </x:fill>
    </x:dxf>
    <x:dxf>
      <x:fill>
        <x:patternFill patternType="solid">
          <x:bgColor rgb="FFD9E1F2"/>
        </x:patternFill>
      </x:fill>
    </x:dxf>
    <x:dxf>
      <x:fill>
        <x:patternFill patternType="solid">
          <x:bgColor rgb="FFBDD7EE"/>
        </x:patternFill>
      </x:fill>
    </x:dxf>
    <x:dxf>
      <x:fill>
        <x:patternFill patternType="solid">
          <x:bgColor rgb="FFE7E6E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D9E1F2"/>
        </x:patternFill>
      </x:fill>
    </x:dxf>
    <x:dxf>
      <x:fill>
        <x:patternFill patternType="solid">
          <x:bgColor rgb="FFD9E1F2"/>
        </x:patternFill>
      </x:fill>
    </x:dxf>
    <x:dxf>
      <x:font>
        <x:b/>
        <x:color rgb="FF9C250C"/>
      </x:font>
      <x:fill>
        <x:patternFill patternType="solid">
          <x:bgColor rgb="FFFCE4D6"/>
        </x:patternFill>
      </x:fill>
    </x:dxf>
    <x:dxf>
      <x:font>
        <x:b/>
        <x:color rgb="FF9C250C"/>
      </x:font>
      <x:fill>
        <x:patternFill patternType="solid">
          <x:bgColor rgb="FFFCE4D6"/>
        </x:patternFill>
      </x:fill>
    </x:dxf>
    <x:dxf>
      <x:font>
        <x:b/>
        <x:color rgb="FF9C250C"/>
      </x:font>
      <x:fill>
        <x:patternFill patternType="solid">
          <x:bgColor rgb="FFFCE4D6"/>
        </x:patternFill>
      </x:fill>
    </x:dxf>
    <x:dxf>
      <x:font>
        <x:b/>
        <x:color rgb="FF9C250C"/>
      </x:font>
      <x:fill>
        <x:patternFill patternType="solid">
          <x:bgColor rgb="FFFCE4D6"/>
        </x:patternFill>
      </x:fill>
    </x:dxf>
    <x:dxf>
      <x:fill>
        <x:patternFill patternType="solid">
          <x:bgColor rgb="FFD9E1F2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E7E6E6"/>
        </x:patternFill>
      </x:fill>
    </x:dxf>
    <x:dxf>
      <x:font>
        <x:b/>
        <x:color rgb="FF9C250C"/>
      </x:font>
      <x:fill>
        <x:patternFill patternType="solid">
          <x:bgColor rgb="FFFCE4D6"/>
        </x:patternFill>
      </x:fill>
    </x:dxf>
    <x:dxf>
      <x:font>
        <x:b/>
        <x:color rgb="FF9C250C"/>
      </x:font>
      <x:fill>
        <x:patternFill patternType="solid">
          <x:bgColor rgb="FFFCE4D6"/>
        </x:patternFill>
      </x:fill>
    </x:dxf>
    <x:dxf>
      <x:fill>
        <x:patternFill patternType="solid">
          <x:bgColor rgb="FFD9E1F2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E7E6E6"/>
        </x:patternFill>
      </x:fill>
    </x:dxf>
    <x:dxf>
      <x:font>
        <x:b/>
        <x:color rgb="FF9C250C"/>
      </x:font>
      <x:fill>
        <x:patternFill patternType="solid">
          <x:bgColor rgb="FFFCE4D6"/>
        </x:patternFill>
      </x:fill>
    </x:dxf>
    <x:dxf>
      <x:font>
        <x:b/>
        <x:color rgb="FF9C250C"/>
      </x:font>
      <x:fill>
        <x:patternFill patternType="solid">
          <x:bgColor rgb="FFFCE4D6"/>
        </x:patternFill>
      </x:fill>
    </x:dxf>
    <x:dxf>
      <x:fill>
        <x:patternFill patternType="solid">
          <x:bgColor rgb="FFD9E1F2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E7E6E6"/>
        </x:patternFill>
      </x:fill>
    </x:dxf>
    <x:dxf>
      <x:font>
        <x:b/>
        <x:color rgb="FF9C250C"/>
      </x:font>
      <x:fill>
        <x:patternFill patternType="solid">
          <x:bgColor rgb="FFFCE4D6"/>
        </x:patternFill>
      </x:fill>
    </x:dxf>
    <x:dxf>
      <x:font>
        <x:b/>
        <x:color rgb="FF9C250C"/>
      </x:font>
      <x:fill>
        <x:patternFill patternType="solid">
          <x:bgColor rgb="FFFCE4D6"/>
        </x:patternFill>
      </x:fill>
    </x:dxf>
    <x:dxf>
      <x:fill>
        <x:patternFill patternType="solid">
          <x:bgColor rgb="FFD9E1F2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E7E6E6"/>
        </x:patternFill>
      </x:fill>
    </x:dxf>
    <x:dxf>
      <x:font>
        <x:b/>
        <x:color rgb="FF9C250C"/>
      </x:font>
      <x:fill>
        <x:patternFill patternType="solid">
          <x:bgColor rgb="FFFCE4D6"/>
        </x:patternFill>
      </x:fill>
    </x:dxf>
    <x:dxf>
      <x:font>
        <x:b/>
        <x:color rgb="FF9C250C"/>
      </x:font>
      <x:fill>
        <x:patternFill patternType="solid">
          <x:bgColor rgb="FFFCE4D6"/>
        </x:patternFill>
      </x:fill>
    </x:dxf>
    <x:dxf>
      <x:fill>
        <x:patternFill patternType="solid">
          <x:bgColor rgb="FFD9E1F2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E7E6E6"/>
        </x:patternFill>
      </x:fill>
    </x:dxf>
    <x:dxf>
      <x:font>
        <x:b/>
        <x:color rgb="FF9C250C"/>
      </x:font>
      <x:fill>
        <x:patternFill patternType="solid">
          <x:bgColor rgb="FFFCE4D6"/>
        </x:patternFill>
      </x:fill>
    </x:dxf>
    <x:dxf>
      <x:font>
        <x:b/>
        <x:color rgb="FF9C250C"/>
      </x:font>
      <x:fill>
        <x:patternFill patternType="solid">
          <x:bgColor rgb="FFFCE4D6"/>
        </x:patternFill>
      </x:fill>
    </x:dxf>
    <x:dxf>
      <x:fill>
        <x:patternFill patternType="solid">
          <x:bgColor rgb="FFD9E1F2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E7E6E6"/>
        </x:patternFill>
      </x:fill>
    </x:dxf>
    <x:dxf>
      <x:font>
        <x:b/>
        <x:color rgb="FF9C250C"/>
      </x:font>
      <x:fill>
        <x:patternFill patternType="solid">
          <x:bgColor rgb="FFFCE4D6"/>
        </x:patternFill>
      </x:fill>
    </x:dxf>
    <x:dxf>
      <x:font>
        <x:b/>
        <x:color rgb="FF9C250C"/>
      </x:font>
      <x:fill>
        <x:patternFill patternType="solid">
          <x:bgColor rgb="FFFCE4D6"/>
        </x:patternFill>
      </x:fill>
    </x:dxf>
    <x:dxf>
      <x:fill>
        <x:patternFill patternType="solid">
          <x:bgColor rgb="FFD9E1F2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E7E6E6"/>
        </x:patternFill>
      </x:fill>
    </x:dxf>
    <x:dxf>
      <x:font>
        <x:b/>
        <x:color rgb="FF9C250C"/>
      </x:font>
      <x:fill>
        <x:patternFill patternType="solid">
          <x:bgColor rgb="FFFCE4D6"/>
        </x:patternFill>
      </x:fill>
    </x:dxf>
    <x:dxf>
      <x:font>
        <x:b/>
        <x:color rgb="FF9C250C"/>
      </x:font>
      <x:fill>
        <x:patternFill patternType="solid">
          <x:bgColor rgb="FFFCE4D6"/>
        </x:patternFill>
      </x:fill>
    </x:dxf>
    <x:dxf>
      <x:font>
        <x:b/>
        <x:color rgb="FF9C250C"/>
      </x:font>
      <x:fill>
        <x:patternFill patternType="solid">
          <x:bgColor rgb="FFFCE4D6"/>
        </x:patternFill>
      </x:fill>
    </x:dxf>
    <x:dxf>
      <x:font>
        <x:b/>
        <x:color rgb="FF9C250C"/>
      </x:font>
      <x:fill>
        <x:patternFill patternType="solid">
          <x:bgColor rgb="FFFCE4D6"/>
        </x:patternFill>
      </x:fill>
    </x:dxf>
    <x:dxf>
      <x:font>
        <x:b/>
        <x:color rgb="FF9C250C"/>
      </x:font>
      <x:fill>
        <x:patternFill patternType="solid">
          <x:bgColor rgb="FFFCE4D6"/>
        </x:patternFill>
      </x:fill>
    </x:dxf>
    <x:dxf>
      <x:font>
        <x:b/>
        <x:color rgb="FF9C250C"/>
      </x:font>
      <x:fill>
        <x:patternFill patternType="solid">
          <x:bgColor rgb="FFFCE4D6"/>
        </x:patternFill>
      </x:fill>
    </x:dxf>
    <x:dxf>
      <x:font>
        <x:b/>
        <x:color rgb="FF9C250C"/>
      </x:font>
      <x:fill>
        <x:patternFill patternType="solid">
          <x:bgColor rgb="FFFCE4D6"/>
        </x:patternFill>
      </x:fill>
    </x:dxf>
    <x:dxf>
      <x:font>
        <x:b/>
        <x:color rgb="FF9C250C"/>
      </x:font>
      <x:fill>
        <x:patternFill patternType="solid">
          <x:bgColor rgb="FFFCE4D6"/>
        </x:patternFill>
      </x:fill>
    </x:dxf>
    <x:dxf>
      <x:font>
        <x:b/>
        <x:color rgb="FF9C250C"/>
      </x:font>
      <x:fill>
        <x:patternFill patternType="solid">
          <x:bgColor rgb="FFFCE4D6"/>
        </x:patternFill>
      </x:fill>
    </x:dxf>
    <x:dxf>
      <x:font>
        <x:b/>
        <x:color rgb="FF9C250C"/>
      </x:font>
      <x:fill>
        <x:patternFill patternType="solid">
          <x:bgColor rgb="FFFCE4D6"/>
        </x:patternFill>
      </x:fill>
    </x:dxf>
    <x:dxf>
      <x:font>
        <x:b/>
        <x:color rgb="FF9C250C"/>
      </x:font>
      <x:fill>
        <x:patternFill patternType="solid">
          <x:bgColor rgb="FFFCE4D6"/>
        </x:patternFill>
      </x:fill>
    </x:dxf>
    <x:dxf>
      <x:font>
        <x:b/>
        <x:color rgb="FF9C250C"/>
      </x:font>
      <x:fill>
        <x:patternFill patternType="solid">
          <x:bgColor rgb="FFFCE4D6"/>
        </x:patternFill>
      </x:fill>
    </x:dxf>
    <x:dxf>
      <x:font>
        <x:b/>
        <x:color rgb="FF9C250C"/>
      </x:font>
      <x:fill>
        <x:patternFill patternType="solid">
          <x:bgColor rgb="FFFCE4D6"/>
        </x:patternFill>
      </x:fill>
    </x:dxf>
    <x:dxf>
      <x:font>
        <x:b/>
        <x:color rgb="FF9C250C"/>
      </x:font>
      <x:fill>
        <x:patternFill patternType="solid">
          <x:bgColor rgb="FFFCE4D6"/>
        </x:patternFill>
      </x:fill>
    </x:dxf>
    <x:dxf>
      <x:font>
        <x:b/>
        <x:color rgb="FF9C250C"/>
      </x:font>
      <x:fill>
        <x:patternFill patternType="solid">
          <x:bgColor rgb="FFFCE4D6"/>
        </x:patternFill>
      </x:fill>
    </x:dxf>
    <x:dxf>
      <x:font>
        <x:b/>
        <x:color rgb="FF9C250C"/>
      </x:font>
      <x:fill>
        <x:patternFill patternType="solid">
          <x:bgColor rgb="FFFCE4D6"/>
        </x:patternFill>
      </x:fill>
    </x:dxf>
    <x:dxf>
      <x:font>
        <x:b/>
        <x:color rgb="FF9C250C"/>
      </x:font>
      <x:fill>
        <x:patternFill patternType="solid">
          <x:bgColor rgb="FFFCE4D6"/>
        </x:patternFill>
      </x:fill>
    </x:dxf>
    <x:dxf>
      <x:font>
        <x:b/>
        <x:color rgb="FF9C250C"/>
      </x:font>
      <x:fill>
        <x:patternFill patternType="solid">
          <x:bgColor rgb="FFFCE4D6"/>
        </x:patternFill>
      </x:fill>
    </x:dxf>
    <x:dxf>
      <x:font>
        <x:b/>
        <x:color rgb="FF9C250C"/>
      </x:font>
      <x:fill>
        <x:patternFill patternType="solid">
          <x:bgColor rgb="FFFCE4D6"/>
        </x:patternFill>
      </x:fill>
    </x:dxf>
    <x:dxf>
      <x:font>
        <x:b/>
        <x:color rgb="FF9C250C"/>
      </x:font>
      <x:fill>
        <x:patternFill patternType="solid">
          <x:bgColor rgb="FFFCE4D6"/>
        </x:patternFill>
      </x:fill>
    </x:dxf>
    <x:dxf>
      <x:font>
        <x:b/>
        <x:color rgb="FF9C250C"/>
      </x:font>
      <x:fill>
        <x:patternFill patternType="solid">
          <x:bgColor rgb="FFFCE4D6"/>
        </x:patternFill>
      </x:fill>
    </x:dxf>
    <x:dxf>
      <x:font>
        <x:b/>
        <x:color rgb="FF9C250C"/>
      </x:font>
      <x:fill>
        <x:patternFill patternType="solid">
          <x:bgColor rgb="FFFCE4D6"/>
        </x:patternFill>
      </x:fill>
    </x:dxf>
    <x:dxf>
      <x:font>
        <x:b/>
        <x:color rgb="FF9C250C"/>
      </x:font>
      <x:fill>
        <x:patternFill patternType="solid">
          <x:bgColor rgb="FFFCE4D6"/>
        </x:patternFill>
      </x:fill>
    </x:dxf>
    <x:dxf>
      <x:font>
        <x:b/>
        <x:color rgb="FF9C250C"/>
      </x:font>
      <x:fill>
        <x:patternFill patternType="solid">
          <x:bgColor rgb="FFFCE4D6"/>
        </x:patternFill>
      </x:fill>
    </x:dxf>
    <x:dxf>
      <x:font>
        <x:b/>
        <x:color rgb="FF9C250C"/>
      </x:font>
      <x:fill>
        <x:patternFill patternType="solid">
          <x:bgColor rgb="FFFCE4D6"/>
        </x:patternFill>
      </x:fill>
    </x:dxf>
    <x:dxf>
      <x:font>
        <x:b/>
        <x:color rgb="FF9C250C"/>
      </x:font>
      <x:fill>
        <x:patternFill patternType="solid">
          <x:bgColor rgb="FFFCE4D6"/>
        </x:patternFill>
      </x:fill>
    </x:dxf>
    <x:dxf>
      <x:font>
        <x:b/>
        <x:color rgb="FF9C250C"/>
      </x:font>
      <x:fill>
        <x:patternFill patternType="solid">
          <x:bgColor rgb="FFFCE4D6"/>
        </x:patternFill>
      </x:fill>
    </x:dxf>
    <x:dxf>
      <x:font>
        <x:b/>
        <x:color rgb="FF9C250C"/>
      </x:font>
      <x:fill>
        <x:patternFill patternType="solid">
          <x:bgColor rgb="FFFCE4D6"/>
        </x:patternFill>
      </x:fill>
    </x:dxf>
    <x:dxf>
      <x:font>
        <x:b/>
        <x:color rgb="FF9C250C"/>
      </x:font>
      <x:fill>
        <x:patternFill patternType="solid">
          <x:bgColor rgb="FFFCE4D6"/>
        </x:patternFill>
      </x:fill>
    </x:dxf>
    <x:dxf>
      <x:font>
        <x:b/>
        <x:color rgb="FF9C250C"/>
      </x:font>
      <x:fill>
        <x:patternFill patternType="solid">
          <x:bgColor rgb="FFFCE4D6"/>
        </x:patternFill>
      </x:fill>
    </x:dxf>
    <x:dxf>
      <x:font>
        <x:b/>
        <x:color rgb="FF9C250C"/>
      </x:font>
      <x:fill>
        <x:patternFill patternType="solid">
          <x:bgColor rgb="FFFCE4D6"/>
        </x:patternFill>
      </x:fill>
    </x:dxf>
    <x:dxf>
      <x:font>
        <x:b/>
        <x:color rgb="FF9C250C"/>
      </x:font>
      <x:fill>
        <x:patternFill patternType="solid">
          <x:bgColor rgb="FFFCE4D6"/>
        </x:patternFill>
      </x:fill>
    </x:dxf>
    <x:dxf>
      <x:font>
        <x:b/>
        <x:color rgb="FF9C250C"/>
      </x:font>
      <x:fill>
        <x:patternFill patternType="solid">
          <x:bgColor rgb="FFFCE4D6"/>
        </x:patternFill>
      </x:fill>
    </x:dxf>
    <x:dxf>
      <x:font>
        <x:b/>
        <x:color rgb="FF9C250C"/>
      </x:font>
      <x:fill>
        <x:patternFill patternType="solid">
          <x:bgColor rgb="FFFCE4D6"/>
        </x:patternFill>
      </x:fill>
    </x:dxf>
    <x:dxf>
      <x:font>
        <x:b/>
        <x:color rgb="FF9C250C"/>
      </x:font>
      <x:fill>
        <x:patternFill patternType="solid">
          <x:bgColor rgb="FFFCE4D6"/>
        </x:patternFill>
      </x:fill>
    </x:dxf>
    <x:dxf>
      <x:font>
        <x:b/>
        <x:color rgb="FF9C250C"/>
      </x:font>
      <x:fill>
        <x:patternFill patternType="solid">
          <x:bgColor rgb="FFFCE4D6"/>
        </x:patternFill>
      </x:fill>
    </x:dxf>
    <x:dxf>
      <x:font>
        <x:b/>
        <x:color rgb="FF9C250C"/>
      </x:font>
      <x:fill>
        <x:patternFill patternType="solid">
          <x:bgColor rgb="FFFCE4D6"/>
        </x:patternFill>
      </x:fill>
    </x:dxf>
    <x:dxf>
      <x:font>
        <x:b/>
        <x:color rgb="FF9C250C"/>
      </x:font>
      <x:fill>
        <x:patternFill patternType="solid">
          <x:bgColor rgb="FFFCE4D6"/>
        </x:patternFill>
      </x:fill>
    </x:dxf>
    <x:dxf>
      <x:font>
        <x:b/>
        <x:color rgb="FF9C250C"/>
      </x:font>
      <x:fill>
        <x:patternFill patternType="solid">
          <x:bgColor rgb="FFFCE4D6"/>
        </x:patternFill>
      </x:fill>
    </x:dxf>
    <x:dxf>
      <x:font>
        <x:b/>
        <x:color rgb="FF9C250C"/>
      </x:font>
      <x:fill>
        <x:patternFill patternType="solid">
          <x:bgColor rgb="FFFCE4D6"/>
        </x:patternFill>
      </x:fill>
    </x:dxf>
    <x:dxf>
      <x:font>
        <x:b/>
        <x:color rgb="FF9C250C"/>
      </x:font>
      <x:fill>
        <x:patternFill patternType="solid">
          <x:bgColor rgb="FFFCE4D6"/>
        </x:patternFill>
      </x:fill>
    </x:dxf>
    <x:dxf>
      <x:font>
        <x:b/>
        <x:color rgb="FF9C250C"/>
      </x:font>
      <x:fill>
        <x:patternFill patternType="solid">
          <x:bgColor rgb="FFFCE4D6"/>
        </x:patternFill>
      </x:fill>
    </x:dxf>
    <x:dxf>
      <x:font>
        <x:b/>
        <x:color rgb="FF9C250C"/>
      </x:font>
      <x:fill>
        <x:patternFill patternType="solid">
          <x:bgColor rgb="FFFCE4D6"/>
        </x:patternFill>
      </x:fill>
    </x:dxf>
    <x:dxf>
      <x:font>
        <x:b/>
        <x:color rgb="FF9C250C"/>
      </x:font>
      <x:fill>
        <x:patternFill patternType="solid">
          <x:bgColor rgb="FFFCE4D6"/>
        </x:patternFill>
      </x:fill>
    </x:dxf>
    <x:dxf>
      <x:font>
        <x:b/>
        <x:color rgb="FF9C250C"/>
      </x:font>
      <x:fill>
        <x:patternFill patternType="solid">
          <x:bgColor rgb="FFFCE4D6"/>
        </x:patternFill>
      </x:fill>
    </x:dxf>
    <x:dxf>
      <x:font>
        <x:b/>
        <x:color rgb="FF9C250C"/>
      </x:font>
      <x:fill>
        <x:patternFill patternType="solid">
          <x:bgColor rgb="FFFCE4D6"/>
        </x:patternFill>
      </x:fill>
    </x:dxf>
    <x:dxf>
      <x:font>
        <x:b/>
        <x:color rgb="FF9C250C"/>
      </x:font>
      <x:fill>
        <x:patternFill patternType="solid">
          <x:bgColor rgb="FFFCE4D6"/>
        </x:patternFill>
      </x:fill>
    </x:dxf>
    <x:dxf>
      <x:font>
        <x:b/>
        <x:color rgb="FF9C250C"/>
      </x:font>
      <x:fill>
        <x:patternFill patternType="solid">
          <x:bgColor rgb="FFFCE4D6"/>
        </x:patternFill>
      </x:fill>
    </x:dxf>
    <x:dxf>
      <x:font>
        <x:b/>
        <x:color rgb="FF9C250C"/>
      </x:font>
      <x:fill>
        <x:patternFill patternType="solid">
          <x:bgColor rgb="FFFCE4D6"/>
        </x:patternFill>
      </x:fill>
    </x:dxf>
    <x:dxf>
      <x:font>
        <x:b/>
        <x:color rgb="FF9C250C"/>
      </x:font>
      <x:fill>
        <x:patternFill patternType="solid">
          <x:bgColor rgb="FFFCE4D6"/>
        </x:patternFill>
      </x:fill>
    </x:dxf>
    <x:dxf>
      <x:font>
        <x:b/>
        <x:color rgb="FF9C250C"/>
      </x:font>
      <x:fill>
        <x:patternFill patternType="solid">
          <x:bgColor rgb="FFFCE4D6"/>
        </x:patternFill>
      </x:fill>
    </x:dxf>
    <x:dxf>
      <x:font>
        <x:b/>
        <x:color rgb="FF9C250C"/>
      </x:font>
      <x:fill>
        <x:patternFill patternType="solid">
          <x:bgColor rgb="FFFCE4D6"/>
        </x:patternFill>
      </x:fill>
    </x:dxf>
    <x:dxf>
      <x:font>
        <x:b/>
        <x:color rgb="FF9C250C"/>
      </x:font>
      <x:fill>
        <x:patternFill patternType="solid">
          <x:bgColor rgb="FFFCE4D6"/>
        </x:patternFill>
      </x:fill>
    </x:dxf>
    <x:dxf>
      <x:font>
        <x:b/>
        <x:color rgb="FF9C250C"/>
      </x:font>
      <x:fill>
        <x:patternFill patternType="solid">
          <x:bgColor rgb="FFFCE4D6"/>
        </x:patternFill>
      </x:fill>
    </x:dxf>
    <x:dxf>
      <x:font>
        <x:b/>
        <x:color rgb="FF9C250C"/>
      </x:font>
      <x:fill>
        <x:patternFill patternType="solid">
          <x:bgColor rgb="FFFCE4D6"/>
        </x:patternFill>
      </x:fill>
    </x:dxf>
    <x:dxf>
      <x:font>
        <x:b/>
        <x:color rgb="FF9C250C"/>
      </x:font>
      <x:fill>
        <x:patternFill patternType="solid">
          <x:bgColor rgb="FFFCE4D6"/>
        </x:patternFill>
      </x:fill>
    </x:dxf>
    <x:dxf>
      <x:font>
        <x:b/>
        <x:color rgb="FF9C250C"/>
      </x:font>
      <x:fill>
        <x:patternFill patternType="solid">
          <x:bgColor rgb="FFFCE4D6"/>
        </x:patternFill>
      </x:fill>
    </x:dxf>
    <x:dxf>
      <x:font>
        <x:b/>
        <x:color rgb="FF9C250C"/>
      </x:font>
      <x:fill>
        <x:patternFill patternType="solid">
          <x:bgColor rgb="FFFCE4D6"/>
        </x:patternFill>
      </x:fill>
    </x:dxf>
    <x:dxf>
      <x:font>
        <x:b/>
        <x:color rgb="FF9C250C"/>
      </x:font>
      <x:fill>
        <x:patternFill patternType="solid">
          <x:bgColor rgb="FFFCE4D6"/>
        </x:patternFill>
      </x:fill>
    </x:dxf>
    <x:dxf>
      <x:font>
        <x:b/>
        <x:color rgb="FF9C250C"/>
      </x:font>
      <x:fill>
        <x:patternFill patternType="solid">
          <x:bgColor rgb="FFFCE4D6"/>
        </x:patternFill>
      </x:fill>
    </x:dxf>
    <x:dxf>
      <x:font>
        <x:b/>
        <x:color rgb="FF9C250C"/>
      </x:font>
      <x:fill>
        <x:patternFill patternType="solid">
          <x:bgColor rgb="FFFCE4D6"/>
        </x:patternFill>
      </x:fill>
    </x:dxf>
    <x:dxf>
      <x:font>
        <x:b/>
        <x:color rgb="FF9C250C"/>
      </x:font>
      <x:fill>
        <x:patternFill patternType="solid">
          <x:bgColor rgb="FFFCE4D6"/>
        </x:patternFill>
      </x:fill>
    </x:dxf>
    <x:dxf>
      <x:font>
        <x:b/>
        <x:color rgb="FF9C250C"/>
      </x:font>
      <x:fill>
        <x:patternFill patternType="solid">
          <x:bgColor rgb="FFFCE4D6"/>
        </x:patternFill>
      </x:fill>
    </x:dxf>
    <x:dxf>
      <x:font>
        <x:b/>
        <x:color rgb="FF9C250C"/>
      </x:font>
      <x:fill>
        <x:patternFill patternType="solid">
          <x:bgColor rgb="FFFCE4D6"/>
        </x:patternFill>
      </x:fill>
    </x:dxf>
    <x:dxf>
      <x:font>
        <x:b/>
        <x:color rgb="FF9C250C"/>
      </x:font>
      <x:fill>
        <x:patternFill patternType="solid">
          <x:bgColor rgb="FFFCE4D6"/>
        </x:patternFill>
      </x:fill>
    </x:dxf>
    <x:dxf>
      <x:font>
        <x:b/>
        <x:color rgb="FF9C250C"/>
      </x:font>
      <x:fill>
        <x:patternFill patternType="solid">
          <x:bgColor rgb="FFFCE4D6"/>
        </x:patternFill>
      </x:fill>
    </x:dxf>
    <x:dxf>
      <x:font>
        <x:b/>
        <x:color rgb="FF9C250C"/>
      </x:font>
      <x:fill>
        <x:patternFill patternType="solid">
          <x:bgColor rgb="FFFCE4D6"/>
        </x:patternFill>
      </x:fill>
    </x:dxf>
    <x:dxf>
      <x:font>
        <x:b/>
        <x:color rgb="FF9C250C"/>
      </x:font>
      <x:fill>
        <x:patternFill patternType="solid">
          <x:bgColor rgb="FFFCE4D6"/>
        </x:patternFill>
      </x:fill>
    </x:dxf>
    <x:dxf>
      <x:font>
        <x:b/>
        <x:color rgb="FF9C250C"/>
      </x:font>
      <x:fill>
        <x:patternFill patternType="solid">
          <x:bgColor rgb="FFFCE4D6"/>
        </x:patternFill>
      </x:fill>
    </x:dxf>
    <x:dxf>
      <x:font>
        <x:b/>
        <x:color rgb="FF9C250C"/>
      </x:font>
      <x:fill>
        <x:patternFill patternType="solid">
          <x:bgColor rgb="FFFCE4D6"/>
        </x:patternFill>
      </x:fill>
    </x:dxf>
    <x:dxf>
      <x:font>
        <x:b/>
        <x:color rgb="FF9C250C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dd0de3034c4b80" /><Relationship Type="http://schemas.openxmlformats.org/officeDocument/2006/relationships/theme" Target="/xl/theme/theme1.xml" Id="Ra37ca727f091405b" /><Relationship Type="http://schemas.openxmlformats.org/officeDocument/2006/relationships/sharedStrings" Target="/xl/sharedStrings.xml" Id="R18e336b06ecd4a3b" /><Relationship Type="http://schemas.openxmlformats.org/officeDocument/2006/relationships/worksheet" Target="/xl/worksheets/sheet1.xml" Id="Rdadd019c590545ff" /><Relationship Type="http://schemas.openxmlformats.org/officeDocument/2006/relationships/worksheet" Target="/xl/worksheets/sheet2.xml" Id="Rf1d2c442e72744f6" /><Relationship Type="http://schemas.openxmlformats.org/officeDocument/2006/relationships/worksheet" Target="/xl/worksheets/sheet3.xml" Id="Rf55280a5fcb142a5" /><Relationship Type="http://schemas.openxmlformats.org/officeDocument/2006/relationships/worksheet" Target="/xl/worksheets/sheet4.xml" Id="R5fa4800cd4c245ba" /><Relationship Type="http://schemas.openxmlformats.org/officeDocument/2006/relationships/worksheet" Target="/xl/worksheets/sheet5.xml" Id="R9fdba1c35d51431b" /><Relationship Type="http://schemas.openxmlformats.org/officeDocument/2006/relationships/worksheet" Target="/xl/worksheets/sheet6.xml" Id="Rc24ce5b8a6e84ca1" /><Relationship Type="http://schemas.openxmlformats.org/officeDocument/2006/relationships/worksheet" Target="/xl/worksheets/sheet7.xml" Id="Rd262adb2006f45f5" /><Relationship Type="http://schemas.openxmlformats.org/officeDocument/2006/relationships/worksheet" Target="/xl/worksheets/sheet8.xml" Id="Rb6c4ae7ae7fd44e8" /></Relationships>
</file>

<file path=xl/tables/table1.xml><?xml version="1.0" encoding="utf-8"?>
<x:table xmlns:x="http://schemas.openxmlformats.org/spreadsheetml/2006/main" id="1" name="StaffMasterTable" displayName="StaffMasterTable" ref="A5:S77" headerRowCount="1" totalsRowCount="0" totalsRowShown="0">
  <x:tableColumns count="19">
    <x:tableColumn id="1" name="職員ID"/>
    <x:tableColumn id="2" name="所属フロア"/>
    <x:tableColumn id="3" name="勤務区分"/>
    <x:tableColumn id="4" name="資格区分"/>
    <x:tableColumn id="5" name="経験区分"/>
    <x:tableColumn id="6" name="長時間夜勤可否"/>
    <x:tableColumn id="7" name="応援可否"/>
    <x:tableColumn id="8" name="長時間夜勤上限／月"/>
    <x:tableColumn id="9" name="性別"/>
    <x:tableColumn id="10" name="年齢（基準日）"/>
    <x:tableColumn id="11" name="入職日"/>
    <x:tableColumn id="12" name="勤続年数"/>
    <x:tableColumn id="13" name="統括対応可否"/>
    <x:tableColumn id="14" name="勤務可能コード"/>
    <x:tableColumn id="15" name="週契約時間"/>
    <x:tableColumn id="16" name="週契約日数"/>
    <x:tableColumn id="17" name="年度公休目標"/>
    <x:tableColumn id="18" name="データ区分"/>
    <x:tableColumn id="19" name="夜間短時間上限／月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e926c6198af4edc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4" hidden="0" customWidth="1"/>
    <x:col min="2" max="2" width="10" hidden="0" customWidth="1"/>
    <x:col min="3" max="3" width="5" hidden="0" customWidth="1"/>
    <x:col min="4" max="4" width="5" hidden="0" customWidth="1"/>
    <x:col min="5" max="5" width="5" hidden="0" customWidth="1"/>
    <x:col min="6" max="6" width="5" hidden="0" customWidth="1"/>
    <x:col min="7" max="7" width="5" hidden="0" customWidth="1"/>
    <x:col min="8" max="8" width="5" hidden="0" customWidth="1"/>
    <x:col min="9" max="9" width="5" hidden="0" customWidth="1"/>
    <x:col min="10" max="10" width="5" hidden="0" customWidth="1"/>
    <x:col min="11" max="11" width="5" hidden="0" customWidth="1"/>
    <x:col min="12" max="12" width="5" hidden="0" customWidth="1"/>
    <x:col min="13" max="13" width="5" hidden="0" customWidth="1"/>
    <x:col min="14" max="14" width="5" hidden="0" customWidth="1"/>
    <x:col min="15" max="15" width="5" hidden="0" customWidth="1"/>
    <x:col min="16" max="16" width="5" hidden="0" customWidth="1"/>
    <x:col min="17" max="17" width="5" hidden="0" customWidth="1"/>
    <x:col min="18" max="18" width="5" hidden="0" customWidth="1"/>
    <x:col min="19" max="19" width="5" hidden="0" customWidth="1"/>
    <x:col min="20" max="20" width="5" hidden="0" customWidth="1"/>
    <x:col min="21" max="21" width="5" hidden="0" customWidth="1"/>
    <x:col min="22" max="22" width="5" hidden="0" customWidth="1"/>
    <x:col min="23" max="23" width="5" hidden="0" customWidth="1"/>
    <x:col min="24" max="24" width="5" hidden="0" customWidth="1"/>
    <x:col min="25" max="25" width="5" hidden="0" customWidth="1"/>
    <x:col min="26" max="26" width="5" hidden="0" customWidth="1"/>
    <x:col min="27" max="27" width="5" hidden="0" customWidth="1"/>
    <x:col min="28" max="28" width="5" hidden="0" customWidth="1"/>
    <x:col min="29" max="29" width="5" hidden="0" customWidth="1"/>
    <x:col min="30" max="30" width="5" hidden="0" customWidth="1"/>
    <x:col min="31" max="31" width="5" hidden="0" customWidth="1"/>
    <x:col min="32" max="32" width="5" hidden="0" customWidth="1"/>
    <x:col min="33" max="33" width="5" hidden="0" customWidth="1"/>
  </x:cols>
  <x:sheetData>
    <x:row r="1" ht="25" customHeight="1">
      <x:c r="A1" s="56"/>
      <x:c r="B1" s="56"/>
      <x:c r="C1" s="56"/>
      <x:c r="D1" s="56"/>
      <x:c r="E1" s="56"/>
      <x:c r="F1" s="56"/>
      <x:c r="G1" s="56"/>
      <x:c r="H1" s="56"/>
      <x:c r="I1" s="56"/>
      <x:c r="J1" s="56"/>
      <x:c r="K1" s="56"/>
      <x:c r="L1" s="56"/>
      <x:c r="M1" s="56"/>
      <x:c r="N1" s="56"/>
      <x:c r="O1" s="56"/>
      <x:c r="P1" s="56"/>
      <x:c r="Q1" s="56"/>
      <x:c r="R1" s="56"/>
      <x:c r="S1" s="56"/>
      <x:c r="T1" s="56"/>
      <x:c r="U1" s="56"/>
      <x:c r="V1" s="56"/>
      <x:c r="W1" s="56"/>
      <x:c r="X1" s="56"/>
      <x:c r="Y1" s="56"/>
      <x:c r="Z1" s="56"/>
      <x:c r="AA1" s="56"/>
      <x:c r="AB1" s="56"/>
      <x:c r="AC1" s="56"/>
      <x:c r="AD1" s="56"/>
      <x:c r="AE1" s="56"/>
      <x:c r="AF1" s="56"/>
      <x:c r="AG1" s="56"/>
    </x:row>
    <x:row r="2" ht="25" customHeight="1">
      <x:c r="A2" s="57" t="str">
        <x:v>勤務表入力（2026年10月・勤務欄は未作成）</x:v>
      </x:c>
      <x:c r="B2" s="56"/>
      <x:c r="C2" s="56"/>
      <x:c r="D2" s="56"/>
      <x:c r="E2" s="56"/>
      <x:c r="F2" s="56"/>
      <x:c r="G2" s="56"/>
      <x:c r="H2" s="56"/>
      <x:c r="I2" s="56"/>
      <x:c r="J2" s="56"/>
      <x:c r="K2" s="56"/>
      <x:c r="L2" s="56"/>
      <x:c r="M2" s="56"/>
      <x:c r="N2" s="56"/>
      <x:c r="O2" s="56"/>
      <x:c r="P2" s="56"/>
      <x:c r="Q2" s="56"/>
      <x:c r="R2" s="56"/>
      <x:c r="S2" s="56"/>
      <x:c r="T2" s="56"/>
      <x:c r="U2" s="56"/>
      <x:c r="V2" s="56"/>
      <x:c r="W2" s="56"/>
      <x:c r="X2" s="56"/>
      <x:c r="Y2" s="56"/>
      <x:c r="Z2" s="56"/>
      <x:c r="AA2" s="56"/>
      <x:c r="AB2" s="56"/>
      <x:c r="AC2" s="56"/>
      <x:c r="AD2" s="56"/>
      <x:c r="AE2" s="56"/>
      <x:c r="AF2" s="56"/>
      <x:c r="AG2" s="56"/>
    </x:row>
    <x:row r="3" ht="25" customHeight="1">
      <x:c r="A3" s="58" t="str">
        <x:v>72人の候補。条件を満たす月次勤務表の自動生成は次工程です。空欄は未割当です。</x:v>
      </x:c>
      <x:c r="B3" s="56"/>
      <x:c r="C3" s="56"/>
      <x:c r="D3" s="56"/>
      <x:c r="E3" s="56"/>
      <x:c r="F3" s="56"/>
      <x:c r="G3" s="56"/>
      <x:c r="H3" s="56"/>
      <x:c r="I3" s="56"/>
      <x:c r="J3" s="56"/>
      <x:c r="K3" s="56"/>
      <x:c r="L3" s="56"/>
      <x:c r="M3" s="56"/>
      <x:c r="N3" s="56"/>
      <x:c r="O3" s="56"/>
      <x:c r="P3" s="56"/>
      <x:c r="Q3" s="56"/>
      <x:c r="R3" s="56"/>
      <x:c r="S3" s="56"/>
      <x:c r="T3" s="56"/>
      <x:c r="U3" s="56"/>
      <x:c r="V3" s="56"/>
      <x:c r="W3" s="56"/>
      <x:c r="X3" s="56"/>
      <x:c r="Y3" s="56"/>
      <x:c r="Z3" s="56"/>
      <x:c r="AA3" s="56"/>
      <x:c r="AB3" s="56"/>
      <x:c r="AC3" s="56"/>
      <x:c r="AD3" s="56"/>
      <x:c r="AE3" s="56"/>
      <x:c r="AF3" s="56"/>
      <x:c r="AG3" s="56"/>
    </x:row>
    <x:row r="4" ht="25" customHeight="1">
      <x:c r="A4" s="56"/>
      <x:c r="B4" s="56"/>
      <x:c r="C4" s="56"/>
      <x:c r="D4" s="56"/>
      <x:c r="E4" s="56"/>
      <x:c r="F4" s="56"/>
      <x:c r="G4" s="56"/>
      <x:c r="H4" s="56"/>
      <x:c r="I4" s="56"/>
      <x:c r="J4" s="56"/>
      <x:c r="K4" s="56"/>
      <x:c r="L4" s="56"/>
      <x:c r="M4" s="56"/>
      <x:c r="N4" s="56"/>
      <x:c r="O4" s="56"/>
      <x:c r="P4" s="56"/>
      <x:c r="Q4" s="56"/>
      <x:c r="R4" s="56"/>
      <x:c r="S4" s="56"/>
      <x:c r="T4" s="56"/>
      <x:c r="U4" s="56"/>
      <x:c r="V4" s="56"/>
      <x:c r="W4" s="56"/>
      <x:c r="X4" s="56"/>
      <x:c r="Y4" s="56"/>
      <x:c r="Z4" s="56"/>
      <x:c r="AA4" s="56"/>
      <x:c r="AB4" s="56"/>
      <x:c r="AC4" s="56"/>
      <x:c r="AD4" s="56"/>
      <x:c r="AE4" s="56"/>
      <x:c r="AF4" s="56"/>
      <x:c r="AG4" s="56"/>
    </x:row>
    <x:row r="5" ht="38" customHeight="1">
      <x:c r="A5" s="62" t="str">
        <x:v>職員ID</x:v>
      </x:c>
      <x:c r="B5" s="62" t="str">
        <x:v>所属</x:v>
      </x:c>
      <x:c r="C5" s="79" t="n">
        <x:v>46296</x:v>
      </x:c>
      <x:c r="D5" s="79" t="n">
        <x:v>46297</x:v>
      </x:c>
      <x:c r="E5" s="79" t="n">
        <x:v>46298</x:v>
      </x:c>
      <x:c r="F5" s="79" t="n">
        <x:v>46299</x:v>
      </x:c>
      <x:c r="G5" s="79" t="n">
        <x:v>46300</x:v>
      </x:c>
      <x:c r="H5" s="79" t="n">
        <x:v>46301</x:v>
      </x:c>
      <x:c r="I5" s="79" t="n">
        <x:v>46302</x:v>
      </x:c>
      <x:c r="J5" s="79" t="n">
        <x:v>46303</x:v>
      </x:c>
      <x:c r="K5" s="79" t="n">
        <x:v>46304</x:v>
      </x:c>
      <x:c r="L5" s="79" t="n">
        <x:v>46305</x:v>
      </x:c>
      <x:c r="M5" s="79" t="n">
        <x:v>46306</x:v>
      </x:c>
      <x:c r="N5" s="79" t="n">
        <x:v>46307</x:v>
      </x:c>
      <x:c r="O5" s="79" t="n">
        <x:v>46308</x:v>
      </x:c>
      <x:c r="P5" s="79" t="n">
        <x:v>46309</x:v>
      </x:c>
      <x:c r="Q5" s="79" t="n">
        <x:v>46310</x:v>
      </x:c>
      <x:c r="R5" s="79" t="n">
        <x:v>46311</x:v>
      </x:c>
      <x:c r="S5" s="79" t="n">
        <x:v>46312</x:v>
      </x:c>
      <x:c r="T5" s="79" t="n">
        <x:v>46313</x:v>
      </x:c>
      <x:c r="U5" s="79" t="n">
        <x:v>46314</x:v>
      </x:c>
      <x:c r="V5" s="79" t="n">
        <x:v>46315</x:v>
      </x:c>
      <x:c r="W5" s="79" t="n">
        <x:v>46316</x:v>
      </x:c>
      <x:c r="X5" s="79" t="n">
        <x:v>46317</x:v>
      </x:c>
      <x:c r="Y5" s="79" t="n">
        <x:v>46318</x:v>
      </x:c>
      <x:c r="Z5" s="79" t="n">
        <x:v>46319</x:v>
      </x:c>
      <x:c r="AA5" s="79" t="n">
        <x:v>46320</x:v>
      </x:c>
      <x:c r="AB5" s="79" t="n">
        <x:v>46321</x:v>
      </x:c>
      <x:c r="AC5" s="79" t="n">
        <x:v>46322</x:v>
      </x:c>
      <x:c r="AD5" s="79" t="n">
        <x:v>46323</x:v>
      </x:c>
      <x:c r="AE5" s="79" t="n">
        <x:v>46324</x:v>
      </x:c>
      <x:c r="AF5" s="79" t="n">
        <x:v>46325</x:v>
      </x:c>
      <x:c r="AG5" s="79" t="n">
        <x:v>46326</x:v>
      </x:c>
    </x:row>
    <x:row r="6" ht="38" customHeight="1">
      <x:c r="A6" s="62" t="str"/>
      <x:c r="B6" s="62" t="str"/>
      <x:c r="C6" s="62" t="str">
        <x:v>木</x:v>
      </x:c>
      <x:c r="D6" s="62" t="str">
        <x:v>金</x:v>
      </x:c>
      <x:c r="E6" s="62" t="str">
        <x:v>土</x:v>
      </x:c>
      <x:c r="F6" s="62" t="str">
        <x:v>日</x:v>
      </x:c>
      <x:c r="G6" s="62" t="str">
        <x:v>月</x:v>
      </x:c>
      <x:c r="H6" s="62" t="str">
        <x:v>火</x:v>
      </x:c>
      <x:c r="I6" s="62" t="str">
        <x:v>水</x:v>
      </x:c>
      <x:c r="J6" s="62" t="str">
        <x:v>木</x:v>
      </x:c>
      <x:c r="K6" s="62" t="str">
        <x:v>金</x:v>
      </x:c>
      <x:c r="L6" s="62" t="str">
        <x:v>土</x:v>
      </x:c>
      <x:c r="M6" s="62" t="str">
        <x:v>日</x:v>
      </x:c>
      <x:c r="N6" s="62" t="str">
        <x:v>月</x:v>
      </x:c>
      <x:c r="O6" s="62" t="str">
        <x:v>火</x:v>
      </x:c>
      <x:c r="P6" s="62" t="str">
        <x:v>水</x:v>
      </x:c>
      <x:c r="Q6" s="62" t="str">
        <x:v>木</x:v>
      </x:c>
      <x:c r="R6" s="62" t="str">
        <x:v>金</x:v>
      </x:c>
      <x:c r="S6" s="62" t="str">
        <x:v>土</x:v>
      </x:c>
      <x:c r="T6" s="62" t="str">
        <x:v>日</x:v>
      </x:c>
      <x:c r="U6" s="62" t="str">
        <x:v>月</x:v>
      </x:c>
      <x:c r="V6" s="62" t="str">
        <x:v>火</x:v>
      </x:c>
      <x:c r="W6" s="62" t="str">
        <x:v>水</x:v>
      </x:c>
      <x:c r="X6" s="62" t="str">
        <x:v>木</x:v>
      </x:c>
      <x:c r="Y6" s="62" t="str">
        <x:v>金</x:v>
      </x:c>
      <x:c r="Z6" s="62" t="str">
        <x:v>土</x:v>
      </x:c>
      <x:c r="AA6" s="62" t="str">
        <x:v>日</x:v>
      </x:c>
      <x:c r="AB6" s="62" t="str">
        <x:v>月</x:v>
      </x:c>
      <x:c r="AC6" s="62" t="str">
        <x:v>火</x:v>
      </x:c>
      <x:c r="AD6" s="62" t="str">
        <x:v>水</x:v>
      </x:c>
      <x:c r="AE6" s="62" t="str">
        <x:v>木</x:v>
      </x:c>
      <x:c r="AF6" s="62" t="str">
        <x:v>金</x:v>
      </x:c>
      <x:c r="AG6" s="62" t="str">
        <x:v>土</x:v>
      </x:c>
    </x:row>
    <x:row r="7" ht="25" customHeight="1">
      <x:c r="A7" s="63" t="str">
        <x:v>1F-01</x:v>
      </x:c>
      <x:c r="B7" s="63" t="str">
        <x:v>1F</x:v>
      </x:c>
      <x:c r="C7" s="80"/>
      <x:c r="D7" s="80"/>
      <x:c r="E7" s="80"/>
      <x:c r="F7" s="80"/>
      <x:c r="G7" s="80"/>
      <x:c r="H7" s="80"/>
      <x:c r="I7" s="80"/>
      <x:c r="J7" s="80"/>
      <x:c r="K7" s="80"/>
      <x:c r="L7" s="80"/>
      <x:c r="M7" s="80"/>
      <x:c r="N7" s="80"/>
      <x:c r="O7" s="80"/>
      <x:c r="P7" s="80"/>
      <x:c r="Q7" s="80"/>
      <x:c r="R7" s="80"/>
      <x:c r="S7" s="80"/>
      <x:c r="T7" s="80"/>
      <x:c r="U7" s="80"/>
      <x:c r="V7" s="80"/>
      <x:c r="W7" s="80"/>
      <x:c r="X7" s="80"/>
      <x:c r="Y7" s="80"/>
      <x:c r="Z7" s="80"/>
      <x:c r="AA7" s="80"/>
      <x:c r="AB7" s="80"/>
      <x:c r="AC7" s="80"/>
      <x:c r="AD7" s="80"/>
      <x:c r="AE7" s="80"/>
      <x:c r="AF7" s="80"/>
      <x:c r="AG7" s="80"/>
    </x:row>
    <x:row r="8" ht="25" customHeight="1">
      <x:c r="A8" s="63" t="str">
        <x:v>1F-02</x:v>
      </x:c>
      <x:c r="B8" s="63" t="str">
        <x:v>1F</x:v>
      </x:c>
      <x:c r="C8" s="81"/>
      <x:c r="D8" s="81"/>
      <x:c r="E8" s="81"/>
      <x:c r="F8" s="81"/>
      <x:c r="G8" s="81"/>
      <x:c r="H8" s="81"/>
      <x:c r="I8" s="81"/>
      <x:c r="J8" s="81"/>
      <x:c r="K8" s="81"/>
      <x:c r="L8" s="81"/>
      <x:c r="M8" s="81"/>
      <x:c r="N8" s="81"/>
      <x:c r="O8" s="81"/>
      <x:c r="P8" s="81"/>
      <x:c r="Q8" s="81"/>
      <x:c r="R8" s="81"/>
      <x:c r="S8" s="81"/>
      <x:c r="T8" s="81"/>
      <x:c r="U8" s="81"/>
      <x:c r="V8" s="81"/>
      <x:c r="W8" s="81"/>
      <x:c r="X8" s="81"/>
      <x:c r="Y8" s="81"/>
      <x:c r="Z8" s="81"/>
      <x:c r="AA8" s="81"/>
      <x:c r="AB8" s="81"/>
      <x:c r="AC8" s="81"/>
      <x:c r="AD8" s="81"/>
      <x:c r="AE8" s="81"/>
      <x:c r="AF8" s="81"/>
      <x:c r="AG8" s="81"/>
    </x:row>
    <x:row r="9" ht="25" customHeight="1">
      <x:c r="A9" s="63" t="str">
        <x:v>1F-03</x:v>
      </x:c>
      <x:c r="B9" s="63" t="str">
        <x:v>1F</x:v>
      </x:c>
      <x:c r="C9" s="80"/>
      <x:c r="D9" s="80"/>
      <x:c r="E9" s="80"/>
      <x:c r="F9" s="80"/>
      <x:c r="G9" s="80"/>
      <x:c r="H9" s="80"/>
      <x:c r="I9" s="80"/>
      <x:c r="J9" s="80"/>
      <x:c r="K9" s="80"/>
      <x:c r="L9" s="80"/>
      <x:c r="M9" s="80"/>
      <x:c r="N9" s="80"/>
      <x:c r="O9" s="80"/>
      <x:c r="P9" s="80"/>
      <x:c r="Q9" s="80"/>
      <x:c r="R9" s="80"/>
      <x:c r="S9" s="80"/>
      <x:c r="T9" s="80"/>
      <x:c r="U9" s="80"/>
      <x:c r="V9" s="80"/>
      <x:c r="W9" s="80"/>
      <x:c r="X9" s="80"/>
      <x:c r="Y9" s="80"/>
      <x:c r="Z9" s="80"/>
      <x:c r="AA9" s="80"/>
      <x:c r="AB9" s="80"/>
      <x:c r="AC9" s="80"/>
      <x:c r="AD9" s="80"/>
      <x:c r="AE9" s="80"/>
      <x:c r="AF9" s="80"/>
      <x:c r="AG9" s="80"/>
    </x:row>
    <x:row r="10" ht="25" customHeight="1">
      <x:c r="A10" s="63" t="str">
        <x:v>1F-04</x:v>
      </x:c>
      <x:c r="B10" s="63" t="str">
        <x:v>1F</x:v>
      </x:c>
      <x:c r="C10" s="81"/>
      <x:c r="D10" s="81"/>
      <x:c r="E10" s="81"/>
      <x:c r="F10" s="81"/>
      <x:c r="G10" s="81"/>
      <x:c r="H10" s="81"/>
      <x:c r="I10" s="81"/>
      <x:c r="J10" s="81"/>
      <x:c r="K10" s="81"/>
      <x:c r="L10" s="81"/>
      <x:c r="M10" s="81"/>
      <x:c r="N10" s="81"/>
      <x:c r="O10" s="81"/>
      <x:c r="P10" s="81"/>
      <x:c r="Q10" s="81"/>
      <x:c r="R10" s="81"/>
      <x:c r="S10" s="81"/>
      <x:c r="T10" s="81"/>
      <x:c r="U10" s="81"/>
      <x:c r="V10" s="81"/>
      <x:c r="W10" s="81"/>
      <x:c r="X10" s="81"/>
      <x:c r="Y10" s="81"/>
      <x:c r="Z10" s="81"/>
      <x:c r="AA10" s="81"/>
      <x:c r="AB10" s="81"/>
      <x:c r="AC10" s="81"/>
      <x:c r="AD10" s="81"/>
      <x:c r="AE10" s="81"/>
      <x:c r="AF10" s="81"/>
      <x:c r="AG10" s="81"/>
    </x:row>
    <x:row r="11" ht="25" customHeight="1">
      <x:c r="A11" s="63" t="str">
        <x:v>1F-05</x:v>
      </x:c>
      <x:c r="B11" s="63" t="str">
        <x:v>1F</x:v>
      </x:c>
      <x:c r="C11" s="80"/>
      <x:c r="D11" s="80"/>
      <x:c r="E11" s="80"/>
      <x:c r="F11" s="80"/>
      <x:c r="G11" s="80"/>
      <x:c r="H11" s="80"/>
      <x:c r="I11" s="80"/>
      <x:c r="J11" s="80"/>
      <x:c r="K11" s="80"/>
      <x:c r="L11" s="80"/>
      <x:c r="M11" s="80"/>
      <x:c r="N11" s="80"/>
      <x:c r="O11" s="80"/>
      <x:c r="P11" s="80"/>
      <x:c r="Q11" s="80"/>
      <x:c r="R11" s="80"/>
      <x:c r="S11" s="80"/>
      <x:c r="T11" s="80"/>
      <x:c r="U11" s="80"/>
      <x:c r="V11" s="80"/>
      <x:c r="W11" s="80"/>
      <x:c r="X11" s="80"/>
      <x:c r="Y11" s="80"/>
      <x:c r="Z11" s="80"/>
      <x:c r="AA11" s="80"/>
      <x:c r="AB11" s="80"/>
      <x:c r="AC11" s="80"/>
      <x:c r="AD11" s="80"/>
      <x:c r="AE11" s="80"/>
      <x:c r="AF11" s="80"/>
      <x:c r="AG11" s="80"/>
    </x:row>
    <x:row r="12" ht="25" customHeight="1">
      <x:c r="A12" s="63" t="str">
        <x:v>1F-06</x:v>
      </x:c>
      <x:c r="B12" s="63" t="str">
        <x:v>1F</x:v>
      </x:c>
      <x:c r="C12" s="81"/>
      <x:c r="D12" s="81"/>
      <x:c r="E12" s="81"/>
      <x:c r="F12" s="81"/>
      <x:c r="G12" s="81"/>
      <x:c r="H12" s="81"/>
      <x:c r="I12" s="81"/>
      <x:c r="J12" s="81"/>
      <x:c r="K12" s="81"/>
      <x:c r="L12" s="81"/>
      <x:c r="M12" s="81"/>
      <x:c r="N12" s="81"/>
      <x:c r="O12" s="81"/>
      <x:c r="P12" s="81"/>
      <x:c r="Q12" s="81"/>
      <x:c r="R12" s="81"/>
      <x:c r="S12" s="81"/>
      <x:c r="T12" s="81"/>
      <x:c r="U12" s="81"/>
      <x:c r="V12" s="81"/>
      <x:c r="W12" s="81"/>
      <x:c r="X12" s="81"/>
      <x:c r="Y12" s="81"/>
      <x:c r="Z12" s="81"/>
      <x:c r="AA12" s="81"/>
      <x:c r="AB12" s="81"/>
      <x:c r="AC12" s="81"/>
      <x:c r="AD12" s="81"/>
      <x:c r="AE12" s="81"/>
      <x:c r="AF12" s="81"/>
      <x:c r="AG12" s="81"/>
    </x:row>
    <x:row r="13" ht="25" customHeight="1">
      <x:c r="A13" s="63" t="str">
        <x:v>1F-07</x:v>
      </x:c>
      <x:c r="B13" s="63" t="str">
        <x:v>1F</x:v>
      </x:c>
      <x:c r="C13" s="80"/>
      <x:c r="D13" s="80"/>
      <x:c r="E13" s="80"/>
      <x:c r="F13" s="80"/>
      <x:c r="G13" s="80"/>
      <x:c r="H13" s="80"/>
      <x:c r="I13" s="80"/>
      <x:c r="J13" s="80"/>
      <x:c r="K13" s="80"/>
      <x:c r="L13" s="80"/>
      <x:c r="M13" s="80"/>
      <x:c r="N13" s="80"/>
      <x:c r="O13" s="80"/>
      <x:c r="P13" s="80"/>
      <x:c r="Q13" s="80"/>
      <x:c r="R13" s="80"/>
      <x:c r="S13" s="80"/>
      <x:c r="T13" s="80"/>
      <x:c r="U13" s="80"/>
      <x:c r="V13" s="80"/>
      <x:c r="W13" s="80"/>
      <x:c r="X13" s="80"/>
      <x:c r="Y13" s="80"/>
      <x:c r="Z13" s="80"/>
      <x:c r="AA13" s="80"/>
      <x:c r="AB13" s="80"/>
      <x:c r="AC13" s="80"/>
      <x:c r="AD13" s="80"/>
      <x:c r="AE13" s="80"/>
      <x:c r="AF13" s="80"/>
      <x:c r="AG13" s="80"/>
    </x:row>
    <x:row r="14" ht="25" customHeight="1">
      <x:c r="A14" s="63" t="str">
        <x:v>1F-08</x:v>
      </x:c>
      <x:c r="B14" s="63" t="str">
        <x:v>1F</x:v>
      </x:c>
      <x:c r="C14" s="81"/>
      <x:c r="D14" s="81"/>
      <x:c r="E14" s="81"/>
      <x:c r="F14" s="81"/>
      <x:c r="G14" s="81"/>
      <x:c r="H14" s="81"/>
      <x:c r="I14" s="81"/>
      <x:c r="J14" s="81"/>
      <x:c r="K14" s="81"/>
      <x:c r="L14" s="81"/>
      <x:c r="M14" s="81"/>
      <x:c r="N14" s="81"/>
      <x:c r="O14" s="81"/>
      <x:c r="P14" s="81"/>
      <x:c r="Q14" s="81"/>
      <x:c r="R14" s="81"/>
      <x:c r="S14" s="81"/>
      <x:c r="T14" s="81"/>
      <x:c r="U14" s="81"/>
      <x:c r="V14" s="81"/>
      <x:c r="W14" s="81"/>
      <x:c r="X14" s="81"/>
      <x:c r="Y14" s="81"/>
      <x:c r="Z14" s="81"/>
      <x:c r="AA14" s="81"/>
      <x:c r="AB14" s="81"/>
      <x:c r="AC14" s="81"/>
      <x:c r="AD14" s="81"/>
      <x:c r="AE14" s="81"/>
      <x:c r="AF14" s="81"/>
      <x:c r="AG14" s="81"/>
    </x:row>
    <x:row r="15" ht="25" customHeight="1">
      <x:c r="A15" s="63" t="str">
        <x:v>1F-09</x:v>
      </x:c>
      <x:c r="B15" s="63" t="str">
        <x:v>1F</x:v>
      </x:c>
      <x:c r="C15" s="80"/>
      <x:c r="D15" s="80"/>
      <x:c r="E15" s="80"/>
      <x:c r="F15" s="80"/>
      <x:c r="G15" s="80"/>
      <x:c r="H15" s="80"/>
      <x:c r="I15" s="80"/>
      <x:c r="J15" s="80"/>
      <x:c r="K15" s="80"/>
      <x:c r="L15" s="80"/>
      <x:c r="M15" s="80"/>
      <x:c r="N15" s="80"/>
      <x:c r="O15" s="80"/>
      <x:c r="P15" s="80"/>
      <x:c r="Q15" s="80"/>
      <x:c r="R15" s="80"/>
      <x:c r="S15" s="80"/>
      <x:c r="T15" s="80"/>
      <x:c r="U15" s="80"/>
      <x:c r="V15" s="80"/>
      <x:c r="W15" s="80"/>
      <x:c r="X15" s="80"/>
      <x:c r="Y15" s="80"/>
      <x:c r="Z15" s="80"/>
      <x:c r="AA15" s="80"/>
      <x:c r="AB15" s="80"/>
      <x:c r="AC15" s="80"/>
      <x:c r="AD15" s="80"/>
      <x:c r="AE15" s="80"/>
      <x:c r="AF15" s="80"/>
      <x:c r="AG15" s="80"/>
    </x:row>
    <x:row r="16" ht="25" customHeight="1">
      <x:c r="A16" s="63" t="str">
        <x:v>1F-10</x:v>
      </x:c>
      <x:c r="B16" s="63" t="str">
        <x:v>1F</x:v>
      </x:c>
      <x:c r="C16" s="81"/>
      <x:c r="D16" s="81"/>
      <x:c r="E16" s="81"/>
      <x:c r="F16" s="81"/>
      <x:c r="G16" s="81"/>
      <x:c r="H16" s="81"/>
      <x:c r="I16" s="81"/>
      <x:c r="J16" s="81"/>
      <x:c r="K16" s="81"/>
      <x:c r="L16" s="81"/>
      <x:c r="M16" s="81"/>
      <x:c r="N16" s="81"/>
      <x:c r="O16" s="81"/>
      <x:c r="P16" s="81"/>
      <x:c r="Q16" s="81"/>
      <x:c r="R16" s="81"/>
      <x:c r="S16" s="81"/>
      <x:c r="T16" s="81"/>
      <x:c r="U16" s="81"/>
      <x:c r="V16" s="81"/>
      <x:c r="W16" s="81"/>
      <x:c r="X16" s="81"/>
      <x:c r="Y16" s="81"/>
      <x:c r="Z16" s="81"/>
      <x:c r="AA16" s="81"/>
      <x:c r="AB16" s="81"/>
      <x:c r="AC16" s="81"/>
      <x:c r="AD16" s="81"/>
      <x:c r="AE16" s="81"/>
      <x:c r="AF16" s="81"/>
      <x:c r="AG16" s="81"/>
    </x:row>
    <x:row r="17" ht="25" customHeight="1">
      <x:c r="A17" s="63" t="str">
        <x:v>1F-11</x:v>
      </x:c>
      <x:c r="B17" s="63" t="str">
        <x:v>1F</x:v>
      </x:c>
      <x:c r="C17" s="80"/>
      <x:c r="D17" s="80"/>
      <x:c r="E17" s="80"/>
      <x:c r="F17" s="80"/>
      <x:c r="G17" s="80"/>
      <x:c r="H17" s="80"/>
      <x:c r="I17" s="80"/>
      <x:c r="J17" s="80"/>
      <x:c r="K17" s="80"/>
      <x:c r="L17" s="80"/>
      <x:c r="M17" s="80"/>
      <x:c r="N17" s="80"/>
      <x:c r="O17" s="80"/>
      <x:c r="P17" s="80"/>
      <x:c r="Q17" s="80"/>
      <x:c r="R17" s="80"/>
      <x:c r="S17" s="80"/>
      <x:c r="T17" s="80"/>
      <x:c r="U17" s="80"/>
      <x:c r="V17" s="80"/>
      <x:c r="W17" s="80"/>
      <x:c r="X17" s="80"/>
      <x:c r="Y17" s="80"/>
      <x:c r="Z17" s="80"/>
      <x:c r="AA17" s="80"/>
      <x:c r="AB17" s="80"/>
      <x:c r="AC17" s="80"/>
      <x:c r="AD17" s="80"/>
      <x:c r="AE17" s="80"/>
      <x:c r="AF17" s="80"/>
      <x:c r="AG17" s="80"/>
    </x:row>
    <x:row r="18" ht="25" customHeight="1">
      <x:c r="A18" s="63" t="str">
        <x:v>1F-12</x:v>
      </x:c>
      <x:c r="B18" s="63" t="str">
        <x:v>1F</x:v>
      </x:c>
      <x:c r="C18" s="81"/>
      <x:c r="D18" s="81"/>
      <x:c r="E18" s="81"/>
      <x:c r="F18" s="81"/>
      <x:c r="G18" s="81"/>
      <x:c r="H18" s="81"/>
      <x:c r="I18" s="81"/>
      <x:c r="J18" s="81"/>
      <x:c r="K18" s="81"/>
      <x:c r="L18" s="81"/>
      <x:c r="M18" s="81"/>
      <x:c r="N18" s="81"/>
      <x:c r="O18" s="81"/>
      <x:c r="P18" s="81"/>
      <x:c r="Q18" s="81"/>
      <x:c r="R18" s="81"/>
      <x:c r="S18" s="81"/>
      <x:c r="T18" s="81"/>
      <x:c r="U18" s="81"/>
      <x:c r="V18" s="81"/>
      <x:c r="W18" s="81"/>
      <x:c r="X18" s="81"/>
      <x:c r="Y18" s="81"/>
      <x:c r="Z18" s="81"/>
      <x:c r="AA18" s="81"/>
      <x:c r="AB18" s="81"/>
      <x:c r="AC18" s="81"/>
      <x:c r="AD18" s="81"/>
      <x:c r="AE18" s="81"/>
      <x:c r="AF18" s="81"/>
      <x:c r="AG18" s="81"/>
    </x:row>
    <x:row r="19" ht="25" customHeight="1">
      <x:c r="A19" s="63" t="str">
        <x:v>1F-13</x:v>
      </x:c>
      <x:c r="B19" s="63" t="str">
        <x:v>1F</x:v>
      </x:c>
      <x:c r="C19" s="80"/>
      <x:c r="D19" s="80"/>
      <x:c r="E19" s="80"/>
      <x:c r="F19" s="80"/>
      <x:c r="G19" s="80"/>
      <x:c r="H19" s="80"/>
      <x:c r="I19" s="80"/>
      <x:c r="J19" s="80"/>
      <x:c r="K19" s="80"/>
      <x:c r="L19" s="80"/>
      <x:c r="M19" s="80"/>
      <x:c r="N19" s="80"/>
      <x:c r="O19" s="80"/>
      <x:c r="P19" s="80"/>
      <x:c r="Q19" s="80"/>
      <x:c r="R19" s="80"/>
      <x:c r="S19" s="80"/>
      <x:c r="T19" s="80"/>
      <x:c r="U19" s="80"/>
      <x:c r="V19" s="80"/>
      <x:c r="W19" s="80"/>
      <x:c r="X19" s="80"/>
      <x:c r="Y19" s="80"/>
      <x:c r="Z19" s="80"/>
      <x:c r="AA19" s="80"/>
      <x:c r="AB19" s="80"/>
      <x:c r="AC19" s="80"/>
      <x:c r="AD19" s="80"/>
      <x:c r="AE19" s="80"/>
      <x:c r="AF19" s="80"/>
      <x:c r="AG19" s="80"/>
    </x:row>
    <x:row r="20" ht="25" customHeight="1">
      <x:c r="A20" s="63" t="str">
        <x:v>1F-14</x:v>
      </x:c>
      <x:c r="B20" s="63" t="str">
        <x:v>1F</x:v>
      </x:c>
      <x:c r="C20" s="81"/>
      <x:c r="D20" s="81"/>
      <x:c r="E20" s="81"/>
      <x:c r="F20" s="81"/>
      <x:c r="G20" s="81"/>
      <x:c r="H20" s="81"/>
      <x:c r="I20" s="81"/>
      <x:c r="J20" s="81"/>
      <x:c r="K20" s="81"/>
      <x:c r="L20" s="81"/>
      <x:c r="M20" s="81"/>
      <x:c r="N20" s="81"/>
      <x:c r="O20" s="81"/>
      <x:c r="P20" s="81"/>
      <x:c r="Q20" s="81"/>
      <x:c r="R20" s="81"/>
      <x:c r="S20" s="81"/>
      <x:c r="T20" s="81"/>
      <x:c r="U20" s="81"/>
      <x:c r="V20" s="81"/>
      <x:c r="W20" s="81"/>
      <x:c r="X20" s="81"/>
      <x:c r="Y20" s="81"/>
      <x:c r="Z20" s="81"/>
      <x:c r="AA20" s="81"/>
      <x:c r="AB20" s="81"/>
      <x:c r="AC20" s="81"/>
      <x:c r="AD20" s="81"/>
      <x:c r="AE20" s="81"/>
      <x:c r="AF20" s="81"/>
      <x:c r="AG20" s="81"/>
    </x:row>
    <x:row r="21" ht="25" customHeight="1">
      <x:c r="A21" s="63" t="str">
        <x:v>1F-15</x:v>
      </x:c>
      <x:c r="B21" s="63" t="str">
        <x:v>1F</x:v>
      </x:c>
      <x:c r="C21" s="80"/>
      <x:c r="D21" s="80"/>
      <x:c r="E21" s="80"/>
      <x:c r="F21" s="80"/>
      <x:c r="G21" s="80"/>
      <x:c r="H21" s="80"/>
      <x:c r="I21" s="80"/>
      <x:c r="J21" s="80"/>
      <x:c r="K21" s="80"/>
      <x:c r="L21" s="80"/>
      <x:c r="M21" s="80"/>
      <x:c r="N21" s="80"/>
      <x:c r="O21" s="80"/>
      <x:c r="P21" s="80"/>
      <x:c r="Q21" s="80"/>
      <x:c r="R21" s="80"/>
      <x:c r="S21" s="80"/>
      <x:c r="T21" s="80"/>
      <x:c r="U21" s="80"/>
      <x:c r="V21" s="80"/>
      <x:c r="W21" s="80"/>
      <x:c r="X21" s="80"/>
      <x:c r="Y21" s="80"/>
      <x:c r="Z21" s="80"/>
      <x:c r="AA21" s="80"/>
      <x:c r="AB21" s="80"/>
      <x:c r="AC21" s="80"/>
      <x:c r="AD21" s="80"/>
      <x:c r="AE21" s="80"/>
      <x:c r="AF21" s="80"/>
      <x:c r="AG21" s="80"/>
    </x:row>
    <x:row r="22" ht="25" customHeight="1">
      <x:c r="A22" s="63" t="str">
        <x:v>1F-16</x:v>
      </x:c>
      <x:c r="B22" s="63" t="str">
        <x:v>1F</x:v>
      </x:c>
      <x:c r="C22" s="81"/>
      <x:c r="D22" s="81"/>
      <x:c r="E22" s="81"/>
      <x:c r="F22" s="81"/>
      <x:c r="G22" s="81"/>
      <x:c r="H22" s="81"/>
      <x:c r="I22" s="81"/>
      <x:c r="J22" s="81"/>
      <x:c r="K22" s="81"/>
      <x:c r="L22" s="81"/>
      <x:c r="M22" s="81"/>
      <x:c r="N22" s="81"/>
      <x:c r="O22" s="81"/>
      <x:c r="P22" s="81"/>
      <x:c r="Q22" s="81"/>
      <x:c r="R22" s="81"/>
      <x:c r="S22" s="81"/>
      <x:c r="T22" s="81"/>
      <x:c r="U22" s="81"/>
      <x:c r="V22" s="81"/>
      <x:c r="W22" s="81"/>
      <x:c r="X22" s="81"/>
      <x:c r="Y22" s="81"/>
      <x:c r="Z22" s="81"/>
      <x:c r="AA22" s="81"/>
      <x:c r="AB22" s="81"/>
      <x:c r="AC22" s="81"/>
      <x:c r="AD22" s="81"/>
      <x:c r="AE22" s="81"/>
      <x:c r="AF22" s="81"/>
      <x:c r="AG22" s="81"/>
    </x:row>
    <x:row r="23" ht="25" customHeight="1">
      <x:c r="A23" s="63" t="str">
        <x:v>1F-17</x:v>
      </x:c>
      <x:c r="B23" s="63" t="str">
        <x:v>1F</x:v>
      </x:c>
      <x:c r="C23" s="80"/>
      <x:c r="D23" s="80"/>
      <x:c r="E23" s="80"/>
      <x:c r="F23" s="80"/>
      <x:c r="G23" s="80"/>
      <x:c r="H23" s="80"/>
      <x:c r="I23" s="80"/>
      <x:c r="J23" s="80"/>
      <x:c r="K23" s="80"/>
      <x:c r="L23" s="80"/>
      <x:c r="M23" s="80"/>
      <x:c r="N23" s="80"/>
      <x:c r="O23" s="80"/>
      <x:c r="P23" s="80"/>
      <x:c r="Q23" s="80"/>
      <x:c r="R23" s="80"/>
      <x:c r="S23" s="80"/>
      <x:c r="T23" s="80"/>
      <x:c r="U23" s="80"/>
      <x:c r="V23" s="80"/>
      <x:c r="W23" s="80"/>
      <x:c r="X23" s="80"/>
      <x:c r="Y23" s="80"/>
      <x:c r="Z23" s="80"/>
      <x:c r="AA23" s="80"/>
      <x:c r="AB23" s="80"/>
      <x:c r="AC23" s="80"/>
      <x:c r="AD23" s="80"/>
      <x:c r="AE23" s="80"/>
      <x:c r="AF23" s="80"/>
      <x:c r="AG23" s="80"/>
    </x:row>
    <x:row r="24" ht="25" customHeight="1">
      <x:c r="A24" s="63" t="str">
        <x:v>1F-18</x:v>
      </x:c>
      <x:c r="B24" s="63" t="str">
        <x:v>1F</x:v>
      </x:c>
      <x:c r="C24" s="81"/>
      <x:c r="D24" s="81"/>
      <x:c r="E24" s="81"/>
      <x:c r="F24" s="81"/>
      <x:c r="G24" s="81"/>
      <x:c r="H24" s="81"/>
      <x:c r="I24" s="81"/>
      <x:c r="J24" s="81"/>
      <x:c r="K24" s="81"/>
      <x:c r="L24" s="81"/>
      <x:c r="M24" s="81"/>
      <x:c r="N24" s="81"/>
      <x:c r="O24" s="81"/>
      <x:c r="P24" s="81"/>
      <x:c r="Q24" s="81"/>
      <x:c r="R24" s="81"/>
      <x:c r="S24" s="81"/>
      <x:c r="T24" s="81"/>
      <x:c r="U24" s="81"/>
      <x:c r="V24" s="81"/>
      <x:c r="W24" s="81"/>
      <x:c r="X24" s="81"/>
      <x:c r="Y24" s="81"/>
      <x:c r="Z24" s="81"/>
      <x:c r="AA24" s="81"/>
      <x:c r="AB24" s="81"/>
      <x:c r="AC24" s="81"/>
      <x:c r="AD24" s="81"/>
      <x:c r="AE24" s="81"/>
      <x:c r="AF24" s="81"/>
      <x:c r="AG24" s="81"/>
    </x:row>
    <x:row r="25" ht="25" customHeight="1">
      <x:c r="A25" s="63" t="str">
        <x:v>1F-19</x:v>
      </x:c>
      <x:c r="B25" s="63" t="str">
        <x:v>1F</x:v>
      </x:c>
      <x:c r="C25" s="80"/>
      <x:c r="D25" s="80"/>
      <x:c r="E25" s="80"/>
      <x:c r="F25" s="80"/>
      <x:c r="G25" s="80"/>
      <x:c r="H25" s="80"/>
      <x:c r="I25" s="80"/>
      <x:c r="J25" s="80"/>
      <x:c r="K25" s="80"/>
      <x:c r="L25" s="80"/>
      <x:c r="M25" s="80"/>
      <x:c r="N25" s="80"/>
      <x:c r="O25" s="80"/>
      <x:c r="P25" s="80"/>
      <x:c r="Q25" s="80"/>
      <x:c r="R25" s="80"/>
      <x:c r="S25" s="80"/>
      <x:c r="T25" s="80"/>
      <x:c r="U25" s="80"/>
      <x:c r="V25" s="80"/>
      <x:c r="W25" s="80"/>
      <x:c r="X25" s="80"/>
      <x:c r="Y25" s="80"/>
      <x:c r="Z25" s="80"/>
      <x:c r="AA25" s="80"/>
      <x:c r="AB25" s="80"/>
      <x:c r="AC25" s="80"/>
      <x:c r="AD25" s="80"/>
      <x:c r="AE25" s="80"/>
      <x:c r="AF25" s="80"/>
      <x:c r="AG25" s="80"/>
    </x:row>
    <x:row r="26" ht="25" customHeight="1">
      <x:c r="A26" s="63" t="str">
        <x:v>1F-20</x:v>
      </x:c>
      <x:c r="B26" s="63" t="str">
        <x:v>1F</x:v>
      </x:c>
      <x:c r="C26" s="81"/>
      <x:c r="D26" s="81"/>
      <x:c r="E26" s="81"/>
      <x:c r="F26" s="81"/>
      <x:c r="G26" s="81"/>
      <x:c r="H26" s="81"/>
      <x:c r="I26" s="81"/>
      <x:c r="J26" s="81"/>
      <x:c r="K26" s="81"/>
      <x:c r="L26" s="81"/>
      <x:c r="M26" s="81"/>
      <x:c r="N26" s="81"/>
      <x:c r="O26" s="81"/>
      <x:c r="P26" s="81"/>
      <x:c r="Q26" s="81"/>
      <x:c r="R26" s="81"/>
      <x:c r="S26" s="81"/>
      <x:c r="T26" s="81"/>
      <x:c r="U26" s="81"/>
      <x:c r="V26" s="81"/>
      <x:c r="W26" s="81"/>
      <x:c r="X26" s="81"/>
      <x:c r="Y26" s="81"/>
      <x:c r="Z26" s="81"/>
      <x:c r="AA26" s="81"/>
      <x:c r="AB26" s="81"/>
      <x:c r="AC26" s="81"/>
      <x:c r="AD26" s="81"/>
      <x:c r="AE26" s="81"/>
      <x:c r="AF26" s="81"/>
      <x:c r="AG26" s="81"/>
    </x:row>
    <x:row r="27" ht="25" customHeight="1">
      <x:c r="A27" s="63" t="str">
        <x:v>1F-21</x:v>
      </x:c>
      <x:c r="B27" s="63" t="str">
        <x:v>1F</x:v>
      </x:c>
      <x:c r="C27" s="80"/>
      <x:c r="D27" s="80"/>
      <x:c r="E27" s="80"/>
      <x:c r="F27" s="80"/>
      <x:c r="G27" s="80"/>
      <x:c r="H27" s="80"/>
      <x:c r="I27" s="80"/>
      <x:c r="J27" s="80"/>
      <x:c r="K27" s="80"/>
      <x:c r="L27" s="80"/>
      <x:c r="M27" s="80"/>
      <x:c r="N27" s="80"/>
      <x:c r="O27" s="80"/>
      <x:c r="P27" s="80"/>
      <x:c r="Q27" s="80"/>
      <x:c r="R27" s="80"/>
      <x:c r="S27" s="80"/>
      <x:c r="T27" s="80"/>
      <x:c r="U27" s="80"/>
      <x:c r="V27" s="80"/>
      <x:c r="W27" s="80"/>
      <x:c r="X27" s="80"/>
      <x:c r="Y27" s="80"/>
      <x:c r="Z27" s="80"/>
      <x:c r="AA27" s="80"/>
      <x:c r="AB27" s="80"/>
      <x:c r="AC27" s="80"/>
      <x:c r="AD27" s="80"/>
      <x:c r="AE27" s="80"/>
      <x:c r="AF27" s="80"/>
      <x:c r="AG27" s="80"/>
    </x:row>
    <x:row r="28" ht="25" customHeight="1">
      <x:c r="A28" s="63" t="str">
        <x:v>1F-22</x:v>
      </x:c>
      <x:c r="B28" s="63" t="str">
        <x:v>1F</x:v>
      </x:c>
      <x:c r="C28" s="81"/>
      <x:c r="D28" s="81"/>
      <x:c r="E28" s="81"/>
      <x:c r="F28" s="81"/>
      <x:c r="G28" s="81"/>
      <x:c r="H28" s="81"/>
      <x:c r="I28" s="81"/>
      <x:c r="J28" s="81"/>
      <x:c r="K28" s="81"/>
      <x:c r="L28" s="81"/>
      <x:c r="M28" s="81"/>
      <x:c r="N28" s="81"/>
      <x:c r="O28" s="81"/>
      <x:c r="P28" s="81"/>
      <x:c r="Q28" s="81"/>
      <x:c r="R28" s="81"/>
      <x:c r="S28" s="81"/>
      <x:c r="T28" s="81"/>
      <x:c r="U28" s="81"/>
      <x:c r="V28" s="81"/>
      <x:c r="W28" s="81"/>
      <x:c r="X28" s="81"/>
      <x:c r="Y28" s="81"/>
      <x:c r="Z28" s="81"/>
      <x:c r="AA28" s="81"/>
      <x:c r="AB28" s="81"/>
      <x:c r="AC28" s="81"/>
      <x:c r="AD28" s="81"/>
      <x:c r="AE28" s="81"/>
      <x:c r="AF28" s="81"/>
      <x:c r="AG28" s="81"/>
    </x:row>
    <x:row r="29" ht="25" customHeight="1">
      <x:c r="A29" s="63" t="str">
        <x:v>1F-23</x:v>
      </x:c>
      <x:c r="B29" s="63" t="str">
        <x:v>1F</x:v>
      </x:c>
      <x:c r="C29" s="80"/>
      <x:c r="D29" s="80"/>
      <x:c r="E29" s="80"/>
      <x:c r="F29" s="80"/>
      <x:c r="G29" s="80"/>
      <x:c r="H29" s="80"/>
      <x:c r="I29" s="80"/>
      <x:c r="J29" s="80"/>
      <x:c r="K29" s="80"/>
      <x:c r="L29" s="80"/>
      <x:c r="M29" s="80"/>
      <x:c r="N29" s="80"/>
      <x:c r="O29" s="80"/>
      <x:c r="P29" s="80"/>
      <x:c r="Q29" s="80"/>
      <x:c r="R29" s="80"/>
      <x:c r="S29" s="80"/>
      <x:c r="T29" s="80"/>
      <x:c r="U29" s="80"/>
      <x:c r="V29" s="80"/>
      <x:c r="W29" s="80"/>
      <x:c r="X29" s="80"/>
      <x:c r="Y29" s="80"/>
      <x:c r="Z29" s="80"/>
      <x:c r="AA29" s="80"/>
      <x:c r="AB29" s="80"/>
      <x:c r="AC29" s="80"/>
      <x:c r="AD29" s="80"/>
      <x:c r="AE29" s="80"/>
      <x:c r="AF29" s="80"/>
      <x:c r="AG29" s="80"/>
    </x:row>
    <x:row r="30" ht="25" customHeight="1">
      <x:c r="A30" s="63" t="str">
        <x:v>1F-24</x:v>
      </x:c>
      <x:c r="B30" s="63" t="str">
        <x:v>1F</x:v>
      </x:c>
      <x:c r="C30" s="81"/>
      <x:c r="D30" s="81"/>
      <x:c r="E30" s="81"/>
      <x:c r="F30" s="81"/>
      <x:c r="G30" s="81"/>
      <x:c r="H30" s="81"/>
      <x:c r="I30" s="81"/>
      <x:c r="J30" s="81"/>
      <x:c r="K30" s="81"/>
      <x:c r="L30" s="81"/>
      <x:c r="M30" s="81"/>
      <x:c r="N30" s="81"/>
      <x:c r="O30" s="81"/>
      <x:c r="P30" s="81"/>
      <x:c r="Q30" s="81"/>
      <x:c r="R30" s="81"/>
      <x:c r="S30" s="81"/>
      <x:c r="T30" s="81"/>
      <x:c r="U30" s="81"/>
      <x:c r="V30" s="81"/>
      <x:c r="W30" s="81"/>
      <x:c r="X30" s="81"/>
      <x:c r="Y30" s="81"/>
      <x:c r="Z30" s="81"/>
      <x:c r="AA30" s="81"/>
      <x:c r="AB30" s="81"/>
      <x:c r="AC30" s="81"/>
      <x:c r="AD30" s="81"/>
      <x:c r="AE30" s="81"/>
      <x:c r="AF30" s="81"/>
      <x:c r="AG30" s="81"/>
    </x:row>
    <x:row r="31" ht="25" customHeight="1">
      <x:c r="A31" s="63" t="str">
        <x:v>2F-01</x:v>
      </x:c>
      <x:c r="B31" s="63" t="str">
        <x:v>2F</x:v>
      </x:c>
      <x:c r="C31" s="80"/>
      <x:c r="D31" s="80"/>
      <x:c r="E31" s="80"/>
      <x:c r="F31" s="80"/>
      <x:c r="G31" s="80"/>
      <x:c r="H31" s="80"/>
      <x:c r="I31" s="80"/>
      <x:c r="J31" s="80"/>
      <x:c r="K31" s="80"/>
      <x:c r="L31" s="80"/>
      <x:c r="M31" s="80"/>
      <x:c r="N31" s="80"/>
      <x:c r="O31" s="80"/>
      <x:c r="P31" s="80"/>
      <x:c r="Q31" s="80"/>
      <x:c r="R31" s="80"/>
      <x:c r="S31" s="80"/>
      <x:c r="T31" s="80"/>
      <x:c r="U31" s="80"/>
      <x:c r="V31" s="80"/>
      <x:c r="W31" s="80"/>
      <x:c r="X31" s="80"/>
      <x:c r="Y31" s="80"/>
      <x:c r="Z31" s="80"/>
      <x:c r="AA31" s="80"/>
      <x:c r="AB31" s="80"/>
      <x:c r="AC31" s="80"/>
      <x:c r="AD31" s="80"/>
      <x:c r="AE31" s="80"/>
      <x:c r="AF31" s="80"/>
      <x:c r="AG31" s="80"/>
    </x:row>
    <x:row r="32" ht="25" customHeight="1">
      <x:c r="A32" s="63" t="str">
        <x:v>2F-02</x:v>
      </x:c>
      <x:c r="B32" s="63" t="str">
        <x:v>2F</x:v>
      </x:c>
      <x:c r="C32" s="81"/>
      <x:c r="D32" s="81"/>
      <x:c r="E32" s="81"/>
      <x:c r="F32" s="81"/>
      <x:c r="G32" s="81"/>
      <x:c r="H32" s="81"/>
      <x:c r="I32" s="81"/>
      <x:c r="J32" s="81"/>
      <x:c r="K32" s="81"/>
      <x:c r="L32" s="81"/>
      <x:c r="M32" s="81"/>
      <x:c r="N32" s="81"/>
      <x:c r="O32" s="81"/>
      <x:c r="P32" s="81"/>
      <x:c r="Q32" s="81"/>
      <x:c r="R32" s="81"/>
      <x:c r="S32" s="81"/>
      <x:c r="T32" s="81"/>
      <x:c r="U32" s="81"/>
      <x:c r="V32" s="81"/>
      <x:c r="W32" s="81"/>
      <x:c r="X32" s="81"/>
      <x:c r="Y32" s="81"/>
      <x:c r="Z32" s="81"/>
      <x:c r="AA32" s="81"/>
      <x:c r="AB32" s="81"/>
      <x:c r="AC32" s="81"/>
      <x:c r="AD32" s="81"/>
      <x:c r="AE32" s="81"/>
      <x:c r="AF32" s="81"/>
      <x:c r="AG32" s="81"/>
    </x:row>
    <x:row r="33" ht="25" customHeight="1">
      <x:c r="A33" s="63" t="str">
        <x:v>2F-03</x:v>
      </x:c>
      <x:c r="B33" s="63" t="str">
        <x:v>2F</x:v>
      </x:c>
      <x:c r="C33" s="80"/>
      <x:c r="D33" s="80"/>
      <x:c r="E33" s="80"/>
      <x:c r="F33" s="80"/>
      <x:c r="G33" s="80"/>
      <x:c r="H33" s="80"/>
      <x:c r="I33" s="80"/>
      <x:c r="J33" s="80"/>
      <x:c r="K33" s="80"/>
      <x:c r="L33" s="80"/>
      <x:c r="M33" s="80"/>
      <x:c r="N33" s="80"/>
      <x:c r="O33" s="80"/>
      <x:c r="P33" s="80"/>
      <x:c r="Q33" s="80"/>
      <x:c r="R33" s="80"/>
      <x:c r="S33" s="80"/>
      <x:c r="T33" s="80"/>
      <x:c r="U33" s="80"/>
      <x:c r="V33" s="80"/>
      <x:c r="W33" s="80"/>
      <x:c r="X33" s="80"/>
      <x:c r="Y33" s="80"/>
      <x:c r="Z33" s="80"/>
      <x:c r="AA33" s="80"/>
      <x:c r="AB33" s="80"/>
      <x:c r="AC33" s="80"/>
      <x:c r="AD33" s="80"/>
      <x:c r="AE33" s="80"/>
      <x:c r="AF33" s="80"/>
      <x:c r="AG33" s="80"/>
    </x:row>
    <x:row r="34" ht="25" customHeight="1">
      <x:c r="A34" s="63" t="str">
        <x:v>2F-04</x:v>
      </x:c>
      <x:c r="B34" s="63" t="str">
        <x:v>2F</x:v>
      </x:c>
      <x:c r="C34" s="81"/>
      <x:c r="D34" s="81"/>
      <x:c r="E34" s="81"/>
      <x:c r="F34" s="81"/>
      <x:c r="G34" s="81"/>
      <x:c r="H34" s="81"/>
      <x:c r="I34" s="81"/>
      <x:c r="J34" s="81"/>
      <x:c r="K34" s="81"/>
      <x:c r="L34" s="81"/>
      <x:c r="M34" s="81"/>
      <x:c r="N34" s="81"/>
      <x:c r="O34" s="81"/>
      <x:c r="P34" s="81"/>
      <x:c r="Q34" s="81"/>
      <x:c r="R34" s="81"/>
      <x:c r="S34" s="81"/>
      <x:c r="T34" s="81"/>
      <x:c r="U34" s="81"/>
      <x:c r="V34" s="81"/>
      <x:c r="W34" s="81"/>
      <x:c r="X34" s="81"/>
      <x:c r="Y34" s="81"/>
      <x:c r="Z34" s="81"/>
      <x:c r="AA34" s="81"/>
      <x:c r="AB34" s="81"/>
      <x:c r="AC34" s="81"/>
      <x:c r="AD34" s="81"/>
      <x:c r="AE34" s="81"/>
      <x:c r="AF34" s="81"/>
      <x:c r="AG34" s="81"/>
    </x:row>
    <x:row r="35" ht="25" customHeight="1">
      <x:c r="A35" s="63" t="str">
        <x:v>2F-05</x:v>
      </x:c>
      <x:c r="B35" s="63" t="str">
        <x:v>2F</x:v>
      </x:c>
      <x:c r="C35" s="80"/>
      <x:c r="D35" s="80"/>
      <x:c r="E35" s="80"/>
      <x:c r="F35" s="80"/>
      <x:c r="G35" s="80"/>
      <x:c r="H35" s="80"/>
      <x:c r="I35" s="80"/>
      <x:c r="J35" s="80"/>
      <x:c r="K35" s="80"/>
      <x:c r="L35" s="80"/>
      <x:c r="M35" s="80"/>
      <x:c r="N35" s="80"/>
      <x:c r="O35" s="80"/>
      <x:c r="P35" s="80"/>
      <x:c r="Q35" s="80"/>
      <x:c r="R35" s="80"/>
      <x:c r="S35" s="80"/>
      <x:c r="T35" s="80"/>
      <x:c r="U35" s="80"/>
      <x:c r="V35" s="80"/>
      <x:c r="W35" s="80"/>
      <x:c r="X35" s="80"/>
      <x:c r="Y35" s="80"/>
      <x:c r="Z35" s="80"/>
      <x:c r="AA35" s="80"/>
      <x:c r="AB35" s="80"/>
      <x:c r="AC35" s="80"/>
      <x:c r="AD35" s="80"/>
      <x:c r="AE35" s="80"/>
      <x:c r="AF35" s="80"/>
      <x:c r="AG35" s="80"/>
    </x:row>
    <x:row r="36" ht="25" customHeight="1">
      <x:c r="A36" s="63" t="str">
        <x:v>2F-06</x:v>
      </x:c>
      <x:c r="B36" s="63" t="str">
        <x:v>2F</x:v>
      </x:c>
      <x:c r="C36" s="81"/>
      <x:c r="D36" s="81"/>
      <x:c r="E36" s="81"/>
      <x:c r="F36" s="81"/>
      <x:c r="G36" s="81"/>
      <x:c r="H36" s="81"/>
      <x:c r="I36" s="81"/>
      <x:c r="J36" s="81"/>
      <x:c r="K36" s="81"/>
      <x:c r="L36" s="81"/>
      <x:c r="M36" s="81"/>
      <x:c r="N36" s="81"/>
      <x:c r="O36" s="81"/>
      <x:c r="P36" s="81"/>
      <x:c r="Q36" s="81"/>
      <x:c r="R36" s="81"/>
      <x:c r="S36" s="81"/>
      <x:c r="T36" s="81"/>
      <x:c r="U36" s="81"/>
      <x:c r="V36" s="81"/>
      <x:c r="W36" s="81"/>
      <x:c r="X36" s="81"/>
      <x:c r="Y36" s="81"/>
      <x:c r="Z36" s="81"/>
      <x:c r="AA36" s="81"/>
      <x:c r="AB36" s="81"/>
      <x:c r="AC36" s="81"/>
      <x:c r="AD36" s="81"/>
      <x:c r="AE36" s="81"/>
      <x:c r="AF36" s="81"/>
      <x:c r="AG36" s="81"/>
    </x:row>
    <x:row r="37" ht="25" customHeight="1">
      <x:c r="A37" s="63" t="str">
        <x:v>2F-07</x:v>
      </x:c>
      <x:c r="B37" s="63" t="str">
        <x:v>2F</x:v>
      </x:c>
      <x:c r="C37" s="80"/>
      <x:c r="D37" s="80"/>
      <x:c r="E37" s="80"/>
      <x:c r="F37" s="80"/>
      <x:c r="G37" s="80"/>
      <x:c r="H37" s="80"/>
      <x:c r="I37" s="80"/>
      <x:c r="J37" s="80"/>
      <x:c r="K37" s="80"/>
      <x:c r="L37" s="80"/>
      <x:c r="M37" s="80"/>
      <x:c r="N37" s="80"/>
      <x:c r="O37" s="80"/>
      <x:c r="P37" s="80"/>
      <x:c r="Q37" s="80"/>
      <x:c r="R37" s="80"/>
      <x:c r="S37" s="80"/>
      <x:c r="T37" s="80"/>
      <x:c r="U37" s="80"/>
      <x:c r="V37" s="80"/>
      <x:c r="W37" s="80"/>
      <x:c r="X37" s="80"/>
      <x:c r="Y37" s="80"/>
      <x:c r="Z37" s="80"/>
      <x:c r="AA37" s="80"/>
      <x:c r="AB37" s="80"/>
      <x:c r="AC37" s="80"/>
      <x:c r="AD37" s="80"/>
      <x:c r="AE37" s="80"/>
      <x:c r="AF37" s="80"/>
      <x:c r="AG37" s="80"/>
    </x:row>
    <x:row r="38" ht="25" customHeight="1">
      <x:c r="A38" s="63" t="str">
        <x:v>2F-08</x:v>
      </x:c>
      <x:c r="B38" s="63" t="str">
        <x:v>2F</x:v>
      </x:c>
      <x:c r="C38" s="81"/>
      <x:c r="D38" s="81"/>
      <x:c r="E38" s="81"/>
      <x:c r="F38" s="81"/>
      <x:c r="G38" s="81"/>
      <x:c r="H38" s="81"/>
      <x:c r="I38" s="81"/>
      <x:c r="J38" s="81"/>
      <x:c r="K38" s="81"/>
      <x:c r="L38" s="81"/>
      <x:c r="M38" s="81"/>
      <x:c r="N38" s="81"/>
      <x:c r="O38" s="81"/>
      <x:c r="P38" s="81"/>
      <x:c r="Q38" s="81"/>
      <x:c r="R38" s="81"/>
      <x:c r="S38" s="81"/>
      <x:c r="T38" s="81"/>
      <x:c r="U38" s="81"/>
      <x:c r="V38" s="81"/>
      <x:c r="W38" s="81"/>
      <x:c r="X38" s="81"/>
      <x:c r="Y38" s="81"/>
      <x:c r="Z38" s="81"/>
      <x:c r="AA38" s="81"/>
      <x:c r="AB38" s="81"/>
      <x:c r="AC38" s="81"/>
      <x:c r="AD38" s="81"/>
      <x:c r="AE38" s="81"/>
      <x:c r="AF38" s="81"/>
      <x:c r="AG38" s="81"/>
    </x:row>
    <x:row r="39" ht="25" customHeight="1">
      <x:c r="A39" s="63" t="str">
        <x:v>2F-09</x:v>
      </x:c>
      <x:c r="B39" s="63" t="str">
        <x:v>2F</x:v>
      </x:c>
      <x:c r="C39" s="80"/>
      <x:c r="D39" s="80"/>
      <x:c r="E39" s="80"/>
      <x:c r="F39" s="80"/>
      <x:c r="G39" s="80"/>
      <x:c r="H39" s="80"/>
      <x:c r="I39" s="80"/>
      <x:c r="J39" s="80"/>
      <x:c r="K39" s="80"/>
      <x:c r="L39" s="80"/>
      <x:c r="M39" s="80"/>
      <x:c r="N39" s="80"/>
      <x:c r="O39" s="80"/>
      <x:c r="P39" s="80"/>
      <x:c r="Q39" s="80"/>
      <x:c r="R39" s="80"/>
      <x:c r="S39" s="80"/>
      <x:c r="T39" s="80"/>
      <x:c r="U39" s="80"/>
      <x:c r="V39" s="80"/>
      <x:c r="W39" s="80"/>
      <x:c r="X39" s="80"/>
      <x:c r="Y39" s="80"/>
      <x:c r="Z39" s="80"/>
      <x:c r="AA39" s="80"/>
      <x:c r="AB39" s="80"/>
      <x:c r="AC39" s="80"/>
      <x:c r="AD39" s="80"/>
      <x:c r="AE39" s="80"/>
      <x:c r="AF39" s="80"/>
      <x:c r="AG39" s="80"/>
    </x:row>
    <x:row r="40" ht="25" customHeight="1">
      <x:c r="A40" s="63" t="str">
        <x:v>2F-10</x:v>
      </x:c>
      <x:c r="B40" s="63" t="str">
        <x:v>2F</x:v>
      </x:c>
      <x:c r="C40" s="81"/>
      <x:c r="D40" s="81"/>
      <x:c r="E40" s="81"/>
      <x:c r="F40" s="81"/>
      <x:c r="G40" s="81"/>
      <x:c r="H40" s="81"/>
      <x:c r="I40" s="81"/>
      <x:c r="J40" s="81"/>
      <x:c r="K40" s="81"/>
      <x:c r="L40" s="81"/>
      <x:c r="M40" s="81"/>
      <x:c r="N40" s="81"/>
      <x:c r="O40" s="81"/>
      <x:c r="P40" s="81"/>
      <x:c r="Q40" s="81"/>
      <x:c r="R40" s="81"/>
      <x:c r="S40" s="81"/>
      <x:c r="T40" s="81"/>
      <x:c r="U40" s="81"/>
      <x:c r="V40" s="81"/>
      <x:c r="W40" s="81"/>
      <x:c r="X40" s="81"/>
      <x:c r="Y40" s="81"/>
      <x:c r="Z40" s="81"/>
      <x:c r="AA40" s="81"/>
      <x:c r="AB40" s="81"/>
      <x:c r="AC40" s="81"/>
      <x:c r="AD40" s="81"/>
      <x:c r="AE40" s="81"/>
      <x:c r="AF40" s="81"/>
      <x:c r="AG40" s="81"/>
    </x:row>
    <x:row r="41" ht="25" customHeight="1">
      <x:c r="A41" s="63" t="str">
        <x:v>2F-11</x:v>
      </x:c>
      <x:c r="B41" s="63" t="str">
        <x:v>2F</x:v>
      </x:c>
      <x:c r="C41" s="80"/>
      <x:c r="D41" s="80"/>
      <x:c r="E41" s="80"/>
      <x:c r="F41" s="80"/>
      <x:c r="G41" s="80"/>
      <x:c r="H41" s="80"/>
      <x:c r="I41" s="80"/>
      <x:c r="J41" s="80"/>
      <x:c r="K41" s="80"/>
      <x:c r="L41" s="80"/>
      <x:c r="M41" s="80"/>
      <x:c r="N41" s="80"/>
      <x:c r="O41" s="80"/>
      <x:c r="P41" s="80"/>
      <x:c r="Q41" s="80"/>
      <x:c r="R41" s="80"/>
      <x:c r="S41" s="80"/>
      <x:c r="T41" s="80"/>
      <x:c r="U41" s="80"/>
      <x:c r="V41" s="80"/>
      <x:c r="W41" s="80"/>
      <x:c r="X41" s="80"/>
      <x:c r="Y41" s="80"/>
      <x:c r="Z41" s="80"/>
      <x:c r="AA41" s="80"/>
      <x:c r="AB41" s="80"/>
      <x:c r="AC41" s="80"/>
      <x:c r="AD41" s="80"/>
      <x:c r="AE41" s="80"/>
      <x:c r="AF41" s="80"/>
      <x:c r="AG41" s="80"/>
    </x:row>
    <x:row r="42" ht="25" customHeight="1">
      <x:c r="A42" s="63" t="str">
        <x:v>2F-12</x:v>
      </x:c>
      <x:c r="B42" s="63" t="str">
        <x:v>2F</x:v>
      </x:c>
      <x:c r="C42" s="81"/>
      <x:c r="D42" s="81"/>
      <x:c r="E42" s="81"/>
      <x:c r="F42" s="81"/>
      <x:c r="G42" s="81"/>
      <x:c r="H42" s="81"/>
      <x:c r="I42" s="81"/>
      <x:c r="J42" s="81"/>
      <x:c r="K42" s="81"/>
      <x:c r="L42" s="81"/>
      <x:c r="M42" s="81"/>
      <x:c r="N42" s="81"/>
      <x:c r="O42" s="81"/>
      <x:c r="P42" s="81"/>
      <x:c r="Q42" s="81"/>
      <x:c r="R42" s="81"/>
      <x:c r="S42" s="81"/>
      <x:c r="T42" s="81"/>
      <x:c r="U42" s="81"/>
      <x:c r="V42" s="81"/>
      <x:c r="W42" s="81"/>
      <x:c r="X42" s="81"/>
      <x:c r="Y42" s="81"/>
      <x:c r="Z42" s="81"/>
      <x:c r="AA42" s="81"/>
      <x:c r="AB42" s="81"/>
      <x:c r="AC42" s="81"/>
      <x:c r="AD42" s="81"/>
      <x:c r="AE42" s="81"/>
      <x:c r="AF42" s="81"/>
      <x:c r="AG42" s="81"/>
    </x:row>
    <x:row r="43" ht="25" customHeight="1">
      <x:c r="A43" s="63" t="str">
        <x:v>2F-13</x:v>
      </x:c>
      <x:c r="B43" s="63" t="str">
        <x:v>2F</x:v>
      </x:c>
      <x:c r="C43" s="80"/>
      <x:c r="D43" s="80"/>
      <x:c r="E43" s="80"/>
      <x:c r="F43" s="80"/>
      <x:c r="G43" s="80"/>
      <x:c r="H43" s="80"/>
      <x:c r="I43" s="80"/>
      <x:c r="J43" s="80"/>
      <x:c r="K43" s="80"/>
      <x:c r="L43" s="80"/>
      <x:c r="M43" s="80"/>
      <x:c r="N43" s="80"/>
      <x:c r="O43" s="80"/>
      <x:c r="P43" s="80"/>
      <x:c r="Q43" s="80"/>
      <x:c r="R43" s="80"/>
      <x:c r="S43" s="80"/>
      <x:c r="T43" s="80"/>
      <x:c r="U43" s="80"/>
      <x:c r="V43" s="80"/>
      <x:c r="W43" s="80"/>
      <x:c r="X43" s="80"/>
      <x:c r="Y43" s="80"/>
      <x:c r="Z43" s="80"/>
      <x:c r="AA43" s="80"/>
      <x:c r="AB43" s="80"/>
      <x:c r="AC43" s="80"/>
      <x:c r="AD43" s="80"/>
      <x:c r="AE43" s="80"/>
      <x:c r="AF43" s="80"/>
      <x:c r="AG43" s="80"/>
    </x:row>
    <x:row r="44" ht="25" customHeight="1">
      <x:c r="A44" s="63" t="str">
        <x:v>2F-14</x:v>
      </x:c>
      <x:c r="B44" s="63" t="str">
        <x:v>2F</x:v>
      </x:c>
      <x:c r="C44" s="81"/>
      <x:c r="D44" s="81"/>
      <x:c r="E44" s="81"/>
      <x:c r="F44" s="81"/>
      <x:c r="G44" s="81"/>
      <x:c r="H44" s="81"/>
      <x:c r="I44" s="81"/>
      <x:c r="J44" s="81"/>
      <x:c r="K44" s="81"/>
      <x:c r="L44" s="81"/>
      <x:c r="M44" s="81"/>
      <x:c r="N44" s="81"/>
      <x:c r="O44" s="81"/>
      <x:c r="P44" s="81"/>
      <x:c r="Q44" s="81"/>
      <x:c r="R44" s="81"/>
      <x:c r="S44" s="81"/>
      <x:c r="T44" s="81"/>
      <x:c r="U44" s="81"/>
      <x:c r="V44" s="81"/>
      <x:c r="W44" s="81"/>
      <x:c r="X44" s="81"/>
      <x:c r="Y44" s="81"/>
      <x:c r="Z44" s="81"/>
      <x:c r="AA44" s="81"/>
      <x:c r="AB44" s="81"/>
      <x:c r="AC44" s="81"/>
      <x:c r="AD44" s="81"/>
      <x:c r="AE44" s="81"/>
      <x:c r="AF44" s="81"/>
      <x:c r="AG44" s="81"/>
    </x:row>
    <x:row r="45" ht="25" customHeight="1">
      <x:c r="A45" s="63" t="str">
        <x:v>2F-15</x:v>
      </x:c>
      <x:c r="B45" s="63" t="str">
        <x:v>2F</x:v>
      </x:c>
      <x:c r="C45" s="80"/>
      <x:c r="D45" s="80"/>
      <x:c r="E45" s="80"/>
      <x:c r="F45" s="80"/>
      <x:c r="G45" s="80"/>
      <x:c r="H45" s="80"/>
      <x:c r="I45" s="80"/>
      <x:c r="J45" s="80"/>
      <x:c r="K45" s="80"/>
      <x:c r="L45" s="80"/>
      <x:c r="M45" s="80"/>
      <x:c r="N45" s="80"/>
      <x:c r="O45" s="80"/>
      <x:c r="P45" s="80"/>
      <x:c r="Q45" s="80"/>
      <x:c r="R45" s="80"/>
      <x:c r="S45" s="80"/>
      <x:c r="T45" s="80"/>
      <x:c r="U45" s="80"/>
      <x:c r="V45" s="80"/>
      <x:c r="W45" s="80"/>
      <x:c r="X45" s="80"/>
      <x:c r="Y45" s="80"/>
      <x:c r="Z45" s="80"/>
      <x:c r="AA45" s="80"/>
      <x:c r="AB45" s="80"/>
      <x:c r="AC45" s="80"/>
      <x:c r="AD45" s="80"/>
      <x:c r="AE45" s="80"/>
      <x:c r="AF45" s="80"/>
      <x:c r="AG45" s="80"/>
    </x:row>
    <x:row r="46" ht="25" customHeight="1">
      <x:c r="A46" s="63" t="str">
        <x:v>2F-16</x:v>
      </x:c>
      <x:c r="B46" s="63" t="str">
        <x:v>2F</x:v>
      </x:c>
      <x:c r="C46" s="81"/>
      <x:c r="D46" s="81"/>
      <x:c r="E46" s="81"/>
      <x:c r="F46" s="81"/>
      <x:c r="G46" s="81"/>
      <x:c r="H46" s="81"/>
      <x:c r="I46" s="81"/>
      <x:c r="J46" s="81"/>
      <x:c r="K46" s="81"/>
      <x:c r="L46" s="81"/>
      <x:c r="M46" s="81"/>
      <x:c r="N46" s="81"/>
      <x:c r="O46" s="81"/>
      <x:c r="P46" s="81"/>
      <x:c r="Q46" s="81"/>
      <x:c r="R46" s="81"/>
      <x:c r="S46" s="81"/>
      <x:c r="T46" s="81"/>
      <x:c r="U46" s="81"/>
      <x:c r="V46" s="81"/>
      <x:c r="W46" s="81"/>
      <x:c r="X46" s="81"/>
      <x:c r="Y46" s="81"/>
      <x:c r="Z46" s="81"/>
      <x:c r="AA46" s="81"/>
      <x:c r="AB46" s="81"/>
      <x:c r="AC46" s="81"/>
      <x:c r="AD46" s="81"/>
      <x:c r="AE46" s="81"/>
      <x:c r="AF46" s="81"/>
      <x:c r="AG46" s="81"/>
    </x:row>
    <x:row r="47" ht="25" customHeight="1">
      <x:c r="A47" s="63" t="str">
        <x:v>2F-17</x:v>
      </x:c>
      <x:c r="B47" s="63" t="str">
        <x:v>2F</x:v>
      </x:c>
      <x:c r="C47" s="80"/>
      <x:c r="D47" s="80"/>
      <x:c r="E47" s="80"/>
      <x:c r="F47" s="80"/>
      <x:c r="G47" s="80"/>
      <x:c r="H47" s="80"/>
      <x:c r="I47" s="80"/>
      <x:c r="J47" s="80"/>
      <x:c r="K47" s="80"/>
      <x:c r="L47" s="80"/>
      <x:c r="M47" s="80"/>
      <x:c r="N47" s="80"/>
      <x:c r="O47" s="80"/>
      <x:c r="P47" s="80"/>
      <x:c r="Q47" s="80"/>
      <x:c r="R47" s="80"/>
      <x:c r="S47" s="80"/>
      <x:c r="T47" s="80"/>
      <x:c r="U47" s="80"/>
      <x:c r="V47" s="80"/>
      <x:c r="W47" s="80"/>
      <x:c r="X47" s="80"/>
      <x:c r="Y47" s="80"/>
      <x:c r="Z47" s="80"/>
      <x:c r="AA47" s="80"/>
      <x:c r="AB47" s="80"/>
      <x:c r="AC47" s="80"/>
      <x:c r="AD47" s="80"/>
      <x:c r="AE47" s="80"/>
      <x:c r="AF47" s="80"/>
      <x:c r="AG47" s="80"/>
    </x:row>
    <x:row r="48" ht="25" customHeight="1">
      <x:c r="A48" s="63" t="str">
        <x:v>2F-18</x:v>
      </x:c>
      <x:c r="B48" s="63" t="str">
        <x:v>2F</x:v>
      </x:c>
      <x:c r="C48" s="81"/>
      <x:c r="D48" s="81"/>
      <x:c r="E48" s="81"/>
      <x:c r="F48" s="81"/>
      <x:c r="G48" s="81"/>
      <x:c r="H48" s="81"/>
      <x:c r="I48" s="81"/>
      <x:c r="J48" s="81"/>
      <x:c r="K48" s="81"/>
      <x:c r="L48" s="81"/>
      <x:c r="M48" s="81"/>
      <x:c r="N48" s="81"/>
      <x:c r="O48" s="81"/>
      <x:c r="P48" s="81"/>
      <x:c r="Q48" s="81"/>
      <x:c r="R48" s="81"/>
      <x:c r="S48" s="81"/>
      <x:c r="T48" s="81"/>
      <x:c r="U48" s="81"/>
      <x:c r="V48" s="81"/>
      <x:c r="W48" s="81"/>
      <x:c r="X48" s="81"/>
      <x:c r="Y48" s="81"/>
      <x:c r="Z48" s="81"/>
      <x:c r="AA48" s="81"/>
      <x:c r="AB48" s="81"/>
      <x:c r="AC48" s="81"/>
      <x:c r="AD48" s="81"/>
      <x:c r="AE48" s="81"/>
      <x:c r="AF48" s="81"/>
      <x:c r="AG48" s="81"/>
    </x:row>
    <x:row r="49" ht="25" customHeight="1">
      <x:c r="A49" s="63" t="str">
        <x:v>2F-19</x:v>
      </x:c>
      <x:c r="B49" s="63" t="str">
        <x:v>2F</x:v>
      </x:c>
      <x:c r="C49" s="80"/>
      <x:c r="D49" s="80"/>
      <x:c r="E49" s="80"/>
      <x:c r="F49" s="80"/>
      <x:c r="G49" s="80"/>
      <x:c r="H49" s="80"/>
      <x:c r="I49" s="80"/>
      <x:c r="J49" s="80"/>
      <x:c r="K49" s="80"/>
      <x:c r="L49" s="80"/>
      <x:c r="M49" s="80"/>
      <x:c r="N49" s="80"/>
      <x:c r="O49" s="80"/>
      <x:c r="P49" s="80"/>
      <x:c r="Q49" s="80"/>
      <x:c r="R49" s="80"/>
      <x:c r="S49" s="80"/>
      <x:c r="T49" s="80"/>
      <x:c r="U49" s="80"/>
      <x:c r="V49" s="80"/>
      <x:c r="W49" s="80"/>
      <x:c r="X49" s="80"/>
      <x:c r="Y49" s="80"/>
      <x:c r="Z49" s="80"/>
      <x:c r="AA49" s="80"/>
      <x:c r="AB49" s="80"/>
      <x:c r="AC49" s="80"/>
      <x:c r="AD49" s="80"/>
      <x:c r="AE49" s="80"/>
      <x:c r="AF49" s="80"/>
      <x:c r="AG49" s="80"/>
    </x:row>
    <x:row r="50" ht="25" customHeight="1">
      <x:c r="A50" s="63" t="str">
        <x:v>2F-20</x:v>
      </x:c>
      <x:c r="B50" s="63" t="str">
        <x:v>2F</x:v>
      </x:c>
      <x:c r="C50" s="81"/>
      <x:c r="D50" s="81"/>
      <x:c r="E50" s="81"/>
      <x:c r="F50" s="81"/>
      <x:c r="G50" s="81"/>
      <x:c r="H50" s="81"/>
      <x:c r="I50" s="81"/>
      <x:c r="J50" s="81"/>
      <x:c r="K50" s="81"/>
      <x:c r="L50" s="81"/>
      <x:c r="M50" s="81"/>
      <x:c r="N50" s="81"/>
      <x:c r="O50" s="81"/>
      <x:c r="P50" s="81"/>
      <x:c r="Q50" s="81"/>
      <x:c r="R50" s="81"/>
      <x:c r="S50" s="81"/>
      <x:c r="T50" s="81"/>
      <x:c r="U50" s="81"/>
      <x:c r="V50" s="81"/>
      <x:c r="W50" s="81"/>
      <x:c r="X50" s="81"/>
      <x:c r="Y50" s="81"/>
      <x:c r="Z50" s="81"/>
      <x:c r="AA50" s="81"/>
      <x:c r="AB50" s="81"/>
      <x:c r="AC50" s="81"/>
      <x:c r="AD50" s="81"/>
      <x:c r="AE50" s="81"/>
      <x:c r="AF50" s="81"/>
      <x:c r="AG50" s="81"/>
    </x:row>
    <x:row r="51" ht="25" customHeight="1">
      <x:c r="A51" s="63" t="str">
        <x:v>2F-21</x:v>
      </x:c>
      <x:c r="B51" s="63" t="str">
        <x:v>2F</x:v>
      </x:c>
      <x:c r="C51" s="80"/>
      <x:c r="D51" s="80"/>
      <x:c r="E51" s="80"/>
      <x:c r="F51" s="80"/>
      <x:c r="G51" s="80"/>
      <x:c r="H51" s="80"/>
      <x:c r="I51" s="80"/>
      <x:c r="J51" s="80"/>
      <x:c r="K51" s="80"/>
      <x:c r="L51" s="80"/>
      <x:c r="M51" s="80"/>
      <x:c r="N51" s="80"/>
      <x:c r="O51" s="80"/>
      <x:c r="P51" s="80"/>
      <x:c r="Q51" s="80"/>
      <x:c r="R51" s="80"/>
      <x:c r="S51" s="80"/>
      <x:c r="T51" s="80"/>
      <x:c r="U51" s="80"/>
      <x:c r="V51" s="80"/>
      <x:c r="W51" s="80"/>
      <x:c r="X51" s="80"/>
      <x:c r="Y51" s="80"/>
      <x:c r="Z51" s="80"/>
      <x:c r="AA51" s="80"/>
      <x:c r="AB51" s="80"/>
      <x:c r="AC51" s="80"/>
      <x:c r="AD51" s="80"/>
      <x:c r="AE51" s="80"/>
      <x:c r="AF51" s="80"/>
      <x:c r="AG51" s="80"/>
    </x:row>
    <x:row r="52" ht="25" customHeight="1">
      <x:c r="A52" s="63" t="str">
        <x:v>2F-22</x:v>
      </x:c>
      <x:c r="B52" s="63" t="str">
        <x:v>2F</x:v>
      </x:c>
      <x:c r="C52" s="81"/>
      <x:c r="D52" s="81"/>
      <x:c r="E52" s="81"/>
      <x:c r="F52" s="81"/>
      <x:c r="G52" s="81"/>
      <x:c r="H52" s="81"/>
      <x:c r="I52" s="81"/>
      <x:c r="J52" s="81"/>
      <x:c r="K52" s="81"/>
      <x:c r="L52" s="81"/>
      <x:c r="M52" s="81"/>
      <x:c r="N52" s="81"/>
      <x:c r="O52" s="81"/>
      <x:c r="P52" s="81"/>
      <x:c r="Q52" s="81"/>
      <x:c r="R52" s="81"/>
      <x:c r="S52" s="81"/>
      <x:c r="T52" s="81"/>
      <x:c r="U52" s="81"/>
      <x:c r="V52" s="81"/>
      <x:c r="W52" s="81"/>
      <x:c r="X52" s="81"/>
      <x:c r="Y52" s="81"/>
      <x:c r="Z52" s="81"/>
      <x:c r="AA52" s="81"/>
      <x:c r="AB52" s="81"/>
      <x:c r="AC52" s="81"/>
      <x:c r="AD52" s="81"/>
      <x:c r="AE52" s="81"/>
      <x:c r="AF52" s="81"/>
      <x:c r="AG52" s="81"/>
    </x:row>
    <x:row r="53" ht="25" customHeight="1">
      <x:c r="A53" s="63" t="str">
        <x:v>2F-23</x:v>
      </x:c>
      <x:c r="B53" s="63" t="str">
        <x:v>2F</x:v>
      </x:c>
      <x:c r="C53" s="80"/>
      <x:c r="D53" s="80"/>
      <x:c r="E53" s="80"/>
      <x:c r="F53" s="80"/>
      <x:c r="G53" s="80"/>
      <x:c r="H53" s="80"/>
      <x:c r="I53" s="80"/>
      <x:c r="J53" s="80"/>
      <x:c r="K53" s="80"/>
      <x:c r="L53" s="80"/>
      <x:c r="M53" s="80"/>
      <x:c r="N53" s="80"/>
      <x:c r="O53" s="80"/>
      <x:c r="P53" s="80"/>
      <x:c r="Q53" s="80"/>
      <x:c r="R53" s="80"/>
      <x:c r="S53" s="80"/>
      <x:c r="T53" s="80"/>
      <x:c r="U53" s="80"/>
      <x:c r="V53" s="80"/>
      <x:c r="W53" s="80"/>
      <x:c r="X53" s="80"/>
      <x:c r="Y53" s="80"/>
      <x:c r="Z53" s="80"/>
      <x:c r="AA53" s="80"/>
      <x:c r="AB53" s="80"/>
      <x:c r="AC53" s="80"/>
      <x:c r="AD53" s="80"/>
      <x:c r="AE53" s="80"/>
      <x:c r="AF53" s="80"/>
      <x:c r="AG53" s="80"/>
    </x:row>
    <x:row r="54" ht="25" customHeight="1">
      <x:c r="A54" s="63" t="str">
        <x:v>2F-24</x:v>
      </x:c>
      <x:c r="B54" s="63" t="str">
        <x:v>2F</x:v>
      </x:c>
      <x:c r="C54" s="81"/>
      <x:c r="D54" s="81"/>
      <x:c r="E54" s="81"/>
      <x:c r="F54" s="81"/>
      <x:c r="G54" s="81"/>
      <x:c r="H54" s="81"/>
      <x:c r="I54" s="81"/>
      <x:c r="J54" s="81"/>
      <x:c r="K54" s="81"/>
      <x:c r="L54" s="81"/>
      <x:c r="M54" s="81"/>
      <x:c r="N54" s="81"/>
      <x:c r="O54" s="81"/>
      <x:c r="P54" s="81"/>
      <x:c r="Q54" s="81"/>
      <x:c r="R54" s="81"/>
      <x:c r="S54" s="81"/>
      <x:c r="T54" s="81"/>
      <x:c r="U54" s="81"/>
      <x:c r="V54" s="81"/>
      <x:c r="W54" s="81"/>
      <x:c r="X54" s="81"/>
      <x:c r="Y54" s="81"/>
      <x:c r="Z54" s="81"/>
      <x:c r="AA54" s="81"/>
      <x:c r="AB54" s="81"/>
      <x:c r="AC54" s="81"/>
      <x:c r="AD54" s="81"/>
      <x:c r="AE54" s="81"/>
      <x:c r="AF54" s="81"/>
      <x:c r="AG54" s="81"/>
    </x:row>
    <x:row r="55" ht="25" customHeight="1">
      <x:c r="A55" s="63" t="str">
        <x:v>3F-01</x:v>
      </x:c>
      <x:c r="B55" s="63" t="str">
        <x:v>3F</x:v>
      </x:c>
      <x:c r="C55" s="80"/>
      <x:c r="D55" s="80"/>
      <x:c r="E55" s="80"/>
      <x:c r="F55" s="80"/>
      <x:c r="G55" s="80"/>
      <x:c r="H55" s="80"/>
      <x:c r="I55" s="80"/>
      <x:c r="J55" s="80"/>
      <x:c r="K55" s="80"/>
      <x:c r="L55" s="80"/>
      <x:c r="M55" s="80"/>
      <x:c r="N55" s="80"/>
      <x:c r="O55" s="80"/>
      <x:c r="P55" s="80"/>
      <x:c r="Q55" s="80"/>
      <x:c r="R55" s="80"/>
      <x:c r="S55" s="80"/>
      <x:c r="T55" s="80"/>
      <x:c r="U55" s="80"/>
      <x:c r="V55" s="80"/>
      <x:c r="W55" s="80"/>
      <x:c r="X55" s="80"/>
      <x:c r="Y55" s="80"/>
      <x:c r="Z55" s="80"/>
      <x:c r="AA55" s="80"/>
      <x:c r="AB55" s="80"/>
      <x:c r="AC55" s="80"/>
      <x:c r="AD55" s="80"/>
      <x:c r="AE55" s="80"/>
      <x:c r="AF55" s="80"/>
      <x:c r="AG55" s="80"/>
    </x:row>
    <x:row r="56" ht="25" customHeight="1">
      <x:c r="A56" s="63" t="str">
        <x:v>3F-02</x:v>
      </x:c>
      <x:c r="B56" s="63" t="str">
        <x:v>3F</x:v>
      </x:c>
      <x:c r="C56" s="81"/>
      <x:c r="D56" s="81"/>
      <x:c r="E56" s="81"/>
      <x:c r="F56" s="81"/>
      <x:c r="G56" s="81"/>
      <x:c r="H56" s="81"/>
      <x:c r="I56" s="81"/>
      <x:c r="J56" s="81"/>
      <x:c r="K56" s="81"/>
      <x:c r="L56" s="81"/>
      <x:c r="M56" s="81"/>
      <x:c r="N56" s="81"/>
      <x:c r="O56" s="81"/>
      <x:c r="P56" s="81"/>
      <x:c r="Q56" s="81"/>
      <x:c r="R56" s="81"/>
      <x:c r="S56" s="81"/>
      <x:c r="T56" s="81"/>
      <x:c r="U56" s="81"/>
      <x:c r="V56" s="81"/>
      <x:c r="W56" s="81"/>
      <x:c r="X56" s="81"/>
      <x:c r="Y56" s="81"/>
      <x:c r="Z56" s="81"/>
      <x:c r="AA56" s="81"/>
      <x:c r="AB56" s="81"/>
      <x:c r="AC56" s="81"/>
      <x:c r="AD56" s="81"/>
      <x:c r="AE56" s="81"/>
      <x:c r="AF56" s="81"/>
      <x:c r="AG56" s="81"/>
    </x:row>
    <x:row r="57" ht="25" customHeight="1">
      <x:c r="A57" s="63" t="str">
        <x:v>3F-03</x:v>
      </x:c>
      <x:c r="B57" s="63" t="str">
        <x:v>3F</x:v>
      </x:c>
      <x:c r="C57" s="80"/>
      <x:c r="D57" s="80"/>
      <x:c r="E57" s="80"/>
      <x:c r="F57" s="80"/>
      <x:c r="G57" s="80"/>
      <x:c r="H57" s="80"/>
      <x:c r="I57" s="80"/>
      <x:c r="J57" s="80"/>
      <x:c r="K57" s="80"/>
      <x:c r="L57" s="80"/>
      <x:c r="M57" s="80"/>
      <x:c r="N57" s="80"/>
      <x:c r="O57" s="80"/>
      <x:c r="P57" s="80"/>
      <x:c r="Q57" s="80"/>
      <x:c r="R57" s="80"/>
      <x:c r="S57" s="80"/>
      <x:c r="T57" s="80"/>
      <x:c r="U57" s="80"/>
      <x:c r="V57" s="80"/>
      <x:c r="W57" s="80"/>
      <x:c r="X57" s="80"/>
      <x:c r="Y57" s="80"/>
      <x:c r="Z57" s="80"/>
      <x:c r="AA57" s="80"/>
      <x:c r="AB57" s="80"/>
      <x:c r="AC57" s="80"/>
      <x:c r="AD57" s="80"/>
      <x:c r="AE57" s="80"/>
      <x:c r="AF57" s="80"/>
      <x:c r="AG57" s="80"/>
    </x:row>
    <x:row r="58" ht="25" customHeight="1">
      <x:c r="A58" s="63" t="str">
        <x:v>3F-04</x:v>
      </x:c>
      <x:c r="B58" s="63" t="str">
        <x:v>3F</x:v>
      </x:c>
      <x:c r="C58" s="81"/>
      <x:c r="D58" s="81"/>
      <x:c r="E58" s="81"/>
      <x:c r="F58" s="81"/>
      <x:c r="G58" s="81"/>
      <x:c r="H58" s="81"/>
      <x:c r="I58" s="81"/>
      <x:c r="J58" s="81"/>
      <x:c r="K58" s="81"/>
      <x:c r="L58" s="81"/>
      <x:c r="M58" s="81"/>
      <x:c r="N58" s="81"/>
      <x:c r="O58" s="81"/>
      <x:c r="P58" s="81"/>
      <x:c r="Q58" s="81"/>
      <x:c r="R58" s="81"/>
      <x:c r="S58" s="81"/>
      <x:c r="T58" s="81"/>
      <x:c r="U58" s="81"/>
      <x:c r="V58" s="81"/>
      <x:c r="W58" s="81"/>
      <x:c r="X58" s="81"/>
      <x:c r="Y58" s="81"/>
      <x:c r="Z58" s="81"/>
      <x:c r="AA58" s="81"/>
      <x:c r="AB58" s="81"/>
      <x:c r="AC58" s="81"/>
      <x:c r="AD58" s="81"/>
      <x:c r="AE58" s="81"/>
      <x:c r="AF58" s="81"/>
      <x:c r="AG58" s="81"/>
    </x:row>
    <x:row r="59" ht="25" customHeight="1">
      <x:c r="A59" s="63" t="str">
        <x:v>3F-05</x:v>
      </x:c>
      <x:c r="B59" s="63" t="str">
        <x:v>3F</x:v>
      </x:c>
      <x:c r="C59" s="80"/>
      <x:c r="D59" s="80"/>
      <x:c r="E59" s="80"/>
      <x:c r="F59" s="80"/>
      <x:c r="G59" s="80"/>
      <x:c r="H59" s="80"/>
      <x:c r="I59" s="80"/>
      <x:c r="J59" s="80"/>
      <x:c r="K59" s="80"/>
      <x:c r="L59" s="80"/>
      <x:c r="M59" s="80"/>
      <x:c r="N59" s="80"/>
      <x:c r="O59" s="80"/>
      <x:c r="P59" s="80"/>
      <x:c r="Q59" s="80"/>
      <x:c r="R59" s="80"/>
      <x:c r="S59" s="80"/>
      <x:c r="T59" s="80"/>
      <x:c r="U59" s="80"/>
      <x:c r="V59" s="80"/>
      <x:c r="W59" s="80"/>
      <x:c r="X59" s="80"/>
      <x:c r="Y59" s="80"/>
      <x:c r="Z59" s="80"/>
      <x:c r="AA59" s="80"/>
      <x:c r="AB59" s="80"/>
      <x:c r="AC59" s="80"/>
      <x:c r="AD59" s="80"/>
      <x:c r="AE59" s="80"/>
      <x:c r="AF59" s="80"/>
      <x:c r="AG59" s="80"/>
    </x:row>
    <x:row r="60" ht="25" customHeight="1">
      <x:c r="A60" s="63" t="str">
        <x:v>3F-06</x:v>
      </x:c>
      <x:c r="B60" s="63" t="str">
        <x:v>3F</x:v>
      </x:c>
      <x:c r="C60" s="81"/>
      <x:c r="D60" s="81"/>
      <x:c r="E60" s="81"/>
      <x:c r="F60" s="81"/>
      <x:c r="G60" s="81"/>
      <x:c r="H60" s="81"/>
      <x:c r="I60" s="81"/>
      <x:c r="J60" s="81"/>
      <x:c r="K60" s="81"/>
      <x:c r="L60" s="81"/>
      <x:c r="M60" s="81"/>
      <x:c r="N60" s="81"/>
      <x:c r="O60" s="81"/>
      <x:c r="P60" s="81"/>
      <x:c r="Q60" s="81"/>
      <x:c r="R60" s="81"/>
      <x:c r="S60" s="81"/>
      <x:c r="T60" s="81"/>
      <x:c r="U60" s="81"/>
      <x:c r="V60" s="81"/>
      <x:c r="W60" s="81"/>
      <x:c r="X60" s="81"/>
      <x:c r="Y60" s="81"/>
      <x:c r="Z60" s="81"/>
      <x:c r="AA60" s="81"/>
      <x:c r="AB60" s="81"/>
      <x:c r="AC60" s="81"/>
      <x:c r="AD60" s="81"/>
      <x:c r="AE60" s="81"/>
      <x:c r="AF60" s="81"/>
      <x:c r="AG60" s="81"/>
    </x:row>
    <x:row r="61" ht="25" customHeight="1">
      <x:c r="A61" s="63" t="str">
        <x:v>3F-07</x:v>
      </x:c>
      <x:c r="B61" s="63" t="str">
        <x:v>3F</x:v>
      </x:c>
      <x:c r="C61" s="80"/>
      <x:c r="D61" s="80"/>
      <x:c r="E61" s="80"/>
      <x:c r="F61" s="80"/>
      <x:c r="G61" s="80"/>
      <x:c r="H61" s="80"/>
      <x:c r="I61" s="80"/>
      <x:c r="J61" s="80"/>
      <x:c r="K61" s="80"/>
      <x:c r="L61" s="80"/>
      <x:c r="M61" s="80"/>
      <x:c r="N61" s="80"/>
      <x:c r="O61" s="80"/>
      <x:c r="P61" s="80"/>
      <x:c r="Q61" s="80"/>
      <x:c r="R61" s="80"/>
      <x:c r="S61" s="80"/>
      <x:c r="T61" s="80"/>
      <x:c r="U61" s="80"/>
      <x:c r="V61" s="80"/>
      <x:c r="W61" s="80"/>
      <x:c r="X61" s="80"/>
      <x:c r="Y61" s="80"/>
      <x:c r="Z61" s="80"/>
      <x:c r="AA61" s="80"/>
      <x:c r="AB61" s="80"/>
      <x:c r="AC61" s="80"/>
      <x:c r="AD61" s="80"/>
      <x:c r="AE61" s="80"/>
      <x:c r="AF61" s="80"/>
      <x:c r="AG61" s="80"/>
    </x:row>
    <x:row r="62" ht="25" customHeight="1">
      <x:c r="A62" s="63" t="str">
        <x:v>3F-08</x:v>
      </x:c>
      <x:c r="B62" s="63" t="str">
        <x:v>3F</x:v>
      </x:c>
      <x:c r="C62" s="81"/>
      <x:c r="D62" s="81"/>
      <x:c r="E62" s="81"/>
      <x:c r="F62" s="81"/>
      <x:c r="G62" s="81"/>
      <x:c r="H62" s="81"/>
      <x:c r="I62" s="81"/>
      <x:c r="J62" s="81"/>
      <x:c r="K62" s="81"/>
      <x:c r="L62" s="81"/>
      <x:c r="M62" s="81"/>
      <x:c r="N62" s="81"/>
      <x:c r="O62" s="81"/>
      <x:c r="P62" s="81"/>
      <x:c r="Q62" s="81"/>
      <x:c r="R62" s="81"/>
      <x:c r="S62" s="81"/>
      <x:c r="T62" s="81"/>
      <x:c r="U62" s="81"/>
      <x:c r="V62" s="81"/>
      <x:c r="W62" s="81"/>
      <x:c r="X62" s="81"/>
      <x:c r="Y62" s="81"/>
      <x:c r="Z62" s="81"/>
      <x:c r="AA62" s="81"/>
      <x:c r="AB62" s="81"/>
      <x:c r="AC62" s="81"/>
      <x:c r="AD62" s="81"/>
      <x:c r="AE62" s="81"/>
      <x:c r="AF62" s="81"/>
      <x:c r="AG62" s="81"/>
    </x:row>
    <x:row r="63" ht="25" customHeight="1">
      <x:c r="A63" s="63" t="str">
        <x:v>3F-09</x:v>
      </x:c>
      <x:c r="B63" s="63" t="str">
        <x:v>3F</x:v>
      </x:c>
      <x:c r="C63" s="80"/>
      <x:c r="D63" s="80"/>
      <x:c r="E63" s="80"/>
      <x:c r="F63" s="80"/>
      <x:c r="G63" s="80"/>
      <x:c r="H63" s="80"/>
      <x:c r="I63" s="80"/>
      <x:c r="J63" s="80"/>
      <x:c r="K63" s="80"/>
      <x:c r="L63" s="80"/>
      <x:c r="M63" s="80"/>
      <x:c r="N63" s="80"/>
      <x:c r="O63" s="80"/>
      <x:c r="P63" s="80"/>
      <x:c r="Q63" s="80"/>
      <x:c r="R63" s="80"/>
      <x:c r="S63" s="80"/>
      <x:c r="T63" s="80"/>
      <x:c r="U63" s="80"/>
      <x:c r="V63" s="80"/>
      <x:c r="W63" s="80"/>
      <x:c r="X63" s="80"/>
      <x:c r="Y63" s="80"/>
      <x:c r="Z63" s="80"/>
      <x:c r="AA63" s="80"/>
      <x:c r="AB63" s="80"/>
      <x:c r="AC63" s="80"/>
      <x:c r="AD63" s="80"/>
      <x:c r="AE63" s="80"/>
      <x:c r="AF63" s="80"/>
      <x:c r="AG63" s="80"/>
    </x:row>
    <x:row r="64" ht="25" customHeight="1">
      <x:c r="A64" s="63" t="str">
        <x:v>3F-10</x:v>
      </x:c>
      <x:c r="B64" s="63" t="str">
        <x:v>3F</x:v>
      </x:c>
      <x:c r="C64" s="81"/>
      <x:c r="D64" s="81"/>
      <x:c r="E64" s="81"/>
      <x:c r="F64" s="81"/>
      <x:c r="G64" s="81"/>
      <x:c r="H64" s="81"/>
      <x:c r="I64" s="81"/>
      <x:c r="J64" s="81"/>
      <x:c r="K64" s="81"/>
      <x:c r="L64" s="81"/>
      <x:c r="M64" s="81"/>
      <x:c r="N64" s="81"/>
      <x:c r="O64" s="81"/>
      <x:c r="P64" s="81"/>
      <x:c r="Q64" s="81"/>
      <x:c r="R64" s="81"/>
      <x:c r="S64" s="81"/>
      <x:c r="T64" s="81"/>
      <x:c r="U64" s="81"/>
      <x:c r="V64" s="81"/>
      <x:c r="W64" s="81"/>
      <x:c r="X64" s="81"/>
      <x:c r="Y64" s="81"/>
      <x:c r="Z64" s="81"/>
      <x:c r="AA64" s="81"/>
      <x:c r="AB64" s="81"/>
      <x:c r="AC64" s="81"/>
      <x:c r="AD64" s="81"/>
      <x:c r="AE64" s="81"/>
      <x:c r="AF64" s="81"/>
      <x:c r="AG64" s="81"/>
    </x:row>
    <x:row r="65" ht="25" customHeight="1">
      <x:c r="A65" s="63" t="str">
        <x:v>3F-11</x:v>
      </x:c>
      <x:c r="B65" s="63" t="str">
        <x:v>3F</x:v>
      </x:c>
      <x:c r="C65" s="80"/>
      <x:c r="D65" s="80"/>
      <x:c r="E65" s="80"/>
      <x:c r="F65" s="80"/>
      <x:c r="G65" s="80"/>
      <x:c r="H65" s="80"/>
      <x:c r="I65" s="80"/>
      <x:c r="J65" s="80"/>
      <x:c r="K65" s="80"/>
      <x:c r="L65" s="80"/>
      <x:c r="M65" s="80"/>
      <x:c r="N65" s="80"/>
      <x:c r="O65" s="80"/>
      <x:c r="P65" s="80"/>
      <x:c r="Q65" s="80"/>
      <x:c r="R65" s="80"/>
      <x:c r="S65" s="80"/>
      <x:c r="T65" s="80"/>
      <x:c r="U65" s="80"/>
      <x:c r="V65" s="80"/>
      <x:c r="W65" s="80"/>
      <x:c r="X65" s="80"/>
      <x:c r="Y65" s="80"/>
      <x:c r="Z65" s="80"/>
      <x:c r="AA65" s="80"/>
      <x:c r="AB65" s="80"/>
      <x:c r="AC65" s="80"/>
      <x:c r="AD65" s="80"/>
      <x:c r="AE65" s="80"/>
      <x:c r="AF65" s="80"/>
      <x:c r="AG65" s="80"/>
    </x:row>
    <x:row r="66" ht="25" customHeight="1">
      <x:c r="A66" s="63" t="str">
        <x:v>3F-12</x:v>
      </x:c>
      <x:c r="B66" s="63" t="str">
        <x:v>3F</x:v>
      </x:c>
      <x:c r="C66" s="81"/>
      <x:c r="D66" s="81"/>
      <x:c r="E66" s="81"/>
      <x:c r="F66" s="81"/>
      <x:c r="G66" s="81"/>
      <x:c r="H66" s="81"/>
      <x:c r="I66" s="81"/>
      <x:c r="J66" s="81"/>
      <x:c r="K66" s="81"/>
      <x:c r="L66" s="81"/>
      <x:c r="M66" s="81"/>
      <x:c r="N66" s="81"/>
      <x:c r="O66" s="81"/>
      <x:c r="P66" s="81"/>
      <x:c r="Q66" s="81"/>
      <x:c r="R66" s="81"/>
      <x:c r="S66" s="81"/>
      <x:c r="T66" s="81"/>
      <x:c r="U66" s="81"/>
      <x:c r="V66" s="81"/>
      <x:c r="W66" s="81"/>
      <x:c r="X66" s="81"/>
      <x:c r="Y66" s="81"/>
      <x:c r="Z66" s="81"/>
      <x:c r="AA66" s="81"/>
      <x:c r="AB66" s="81"/>
      <x:c r="AC66" s="81"/>
      <x:c r="AD66" s="81"/>
      <x:c r="AE66" s="81"/>
      <x:c r="AF66" s="81"/>
      <x:c r="AG66" s="81"/>
    </x:row>
    <x:row r="67" ht="25" customHeight="1">
      <x:c r="A67" s="63" t="str">
        <x:v>3F-13</x:v>
      </x:c>
      <x:c r="B67" s="63" t="str">
        <x:v>3F</x:v>
      </x:c>
      <x:c r="C67" s="80"/>
      <x:c r="D67" s="80"/>
      <x:c r="E67" s="80"/>
      <x:c r="F67" s="80"/>
      <x:c r="G67" s="80"/>
      <x:c r="H67" s="80"/>
      <x:c r="I67" s="80"/>
      <x:c r="J67" s="80"/>
      <x:c r="K67" s="80"/>
      <x:c r="L67" s="80"/>
      <x:c r="M67" s="80"/>
      <x:c r="N67" s="80"/>
      <x:c r="O67" s="80"/>
      <x:c r="P67" s="80"/>
      <x:c r="Q67" s="80"/>
      <x:c r="R67" s="80"/>
      <x:c r="S67" s="80"/>
      <x:c r="T67" s="80"/>
      <x:c r="U67" s="80"/>
      <x:c r="V67" s="80"/>
      <x:c r="W67" s="80"/>
      <x:c r="X67" s="80"/>
      <x:c r="Y67" s="80"/>
      <x:c r="Z67" s="80"/>
      <x:c r="AA67" s="80"/>
      <x:c r="AB67" s="80"/>
      <x:c r="AC67" s="80"/>
      <x:c r="AD67" s="80"/>
      <x:c r="AE67" s="80"/>
      <x:c r="AF67" s="80"/>
      <x:c r="AG67" s="80"/>
    </x:row>
    <x:row r="68" ht="25" customHeight="1">
      <x:c r="A68" s="63" t="str">
        <x:v>3F-14</x:v>
      </x:c>
      <x:c r="B68" s="63" t="str">
        <x:v>3F</x:v>
      </x:c>
      <x:c r="C68" s="81"/>
      <x:c r="D68" s="81"/>
      <x:c r="E68" s="81"/>
      <x:c r="F68" s="81"/>
      <x:c r="G68" s="81"/>
      <x:c r="H68" s="81"/>
      <x:c r="I68" s="81"/>
      <x:c r="J68" s="81"/>
      <x:c r="K68" s="81"/>
      <x:c r="L68" s="81"/>
      <x:c r="M68" s="81"/>
      <x:c r="N68" s="81"/>
      <x:c r="O68" s="81"/>
      <x:c r="P68" s="81"/>
      <x:c r="Q68" s="81"/>
      <x:c r="R68" s="81"/>
      <x:c r="S68" s="81"/>
      <x:c r="T68" s="81"/>
      <x:c r="U68" s="81"/>
      <x:c r="V68" s="81"/>
      <x:c r="W68" s="81"/>
      <x:c r="X68" s="81"/>
      <x:c r="Y68" s="81"/>
      <x:c r="Z68" s="81"/>
      <x:c r="AA68" s="81"/>
      <x:c r="AB68" s="81"/>
      <x:c r="AC68" s="81"/>
      <x:c r="AD68" s="81"/>
      <x:c r="AE68" s="81"/>
      <x:c r="AF68" s="81"/>
      <x:c r="AG68" s="81"/>
    </x:row>
    <x:row r="69" ht="25" customHeight="1">
      <x:c r="A69" s="63" t="str">
        <x:v>3F-15</x:v>
      </x:c>
      <x:c r="B69" s="63" t="str">
        <x:v>3F</x:v>
      </x:c>
      <x:c r="C69" s="80"/>
      <x:c r="D69" s="80"/>
      <x:c r="E69" s="80"/>
      <x:c r="F69" s="80"/>
      <x:c r="G69" s="80"/>
      <x:c r="H69" s="80"/>
      <x:c r="I69" s="80"/>
      <x:c r="J69" s="80"/>
      <x:c r="K69" s="80"/>
      <x:c r="L69" s="80"/>
      <x:c r="M69" s="80"/>
      <x:c r="N69" s="80"/>
      <x:c r="O69" s="80"/>
      <x:c r="P69" s="80"/>
      <x:c r="Q69" s="80"/>
      <x:c r="R69" s="80"/>
      <x:c r="S69" s="80"/>
      <x:c r="T69" s="80"/>
      <x:c r="U69" s="80"/>
      <x:c r="V69" s="80"/>
      <x:c r="W69" s="80"/>
      <x:c r="X69" s="80"/>
      <x:c r="Y69" s="80"/>
      <x:c r="Z69" s="80"/>
      <x:c r="AA69" s="80"/>
      <x:c r="AB69" s="80"/>
      <x:c r="AC69" s="80"/>
      <x:c r="AD69" s="80"/>
      <x:c r="AE69" s="80"/>
      <x:c r="AF69" s="80"/>
      <x:c r="AG69" s="80"/>
    </x:row>
    <x:row r="70" ht="25" customHeight="1">
      <x:c r="A70" s="63" t="str">
        <x:v>3F-16</x:v>
      </x:c>
      <x:c r="B70" s="63" t="str">
        <x:v>3F</x:v>
      </x:c>
      <x:c r="C70" s="81"/>
      <x:c r="D70" s="81"/>
      <x:c r="E70" s="81"/>
      <x:c r="F70" s="81"/>
      <x:c r="G70" s="81"/>
      <x:c r="H70" s="81"/>
      <x:c r="I70" s="81"/>
      <x:c r="J70" s="81"/>
      <x:c r="K70" s="81"/>
      <x:c r="L70" s="81"/>
      <x:c r="M70" s="81"/>
      <x:c r="N70" s="81"/>
      <x:c r="O70" s="81"/>
      <x:c r="P70" s="81"/>
      <x:c r="Q70" s="81"/>
      <x:c r="R70" s="81"/>
      <x:c r="S70" s="81"/>
      <x:c r="T70" s="81"/>
      <x:c r="U70" s="81"/>
      <x:c r="V70" s="81"/>
      <x:c r="W70" s="81"/>
      <x:c r="X70" s="81"/>
      <x:c r="Y70" s="81"/>
      <x:c r="Z70" s="81"/>
      <x:c r="AA70" s="81"/>
      <x:c r="AB70" s="81"/>
      <x:c r="AC70" s="81"/>
      <x:c r="AD70" s="81"/>
      <x:c r="AE70" s="81"/>
      <x:c r="AF70" s="81"/>
      <x:c r="AG70" s="81"/>
    </x:row>
    <x:row r="71" ht="25" customHeight="1">
      <x:c r="A71" s="63" t="str">
        <x:v>3F-17</x:v>
      </x:c>
      <x:c r="B71" s="63" t="str">
        <x:v>3F</x:v>
      </x:c>
      <x:c r="C71" s="80"/>
      <x:c r="D71" s="80"/>
      <x:c r="E71" s="80"/>
      <x:c r="F71" s="80"/>
      <x:c r="G71" s="80"/>
      <x:c r="H71" s="80"/>
      <x:c r="I71" s="80"/>
      <x:c r="J71" s="80"/>
      <x:c r="K71" s="80"/>
      <x:c r="L71" s="80"/>
      <x:c r="M71" s="80"/>
      <x:c r="N71" s="80"/>
      <x:c r="O71" s="80"/>
      <x:c r="P71" s="80"/>
      <x:c r="Q71" s="80"/>
      <x:c r="R71" s="80"/>
      <x:c r="S71" s="80"/>
      <x:c r="T71" s="80"/>
      <x:c r="U71" s="80"/>
      <x:c r="V71" s="80"/>
      <x:c r="W71" s="80"/>
      <x:c r="X71" s="80"/>
      <x:c r="Y71" s="80"/>
      <x:c r="Z71" s="80"/>
      <x:c r="AA71" s="80"/>
      <x:c r="AB71" s="80"/>
      <x:c r="AC71" s="80"/>
      <x:c r="AD71" s="80"/>
      <x:c r="AE71" s="80"/>
      <x:c r="AF71" s="80"/>
      <x:c r="AG71" s="80"/>
    </x:row>
    <x:row r="72" ht="25" customHeight="1">
      <x:c r="A72" s="63" t="str">
        <x:v>3F-18</x:v>
      </x:c>
      <x:c r="B72" s="63" t="str">
        <x:v>3F</x:v>
      </x:c>
      <x:c r="C72" s="81"/>
      <x:c r="D72" s="81"/>
      <x:c r="E72" s="81"/>
      <x:c r="F72" s="81"/>
      <x:c r="G72" s="81"/>
      <x:c r="H72" s="81"/>
      <x:c r="I72" s="81"/>
      <x:c r="J72" s="81"/>
      <x:c r="K72" s="81"/>
      <x:c r="L72" s="81"/>
      <x:c r="M72" s="81"/>
      <x:c r="N72" s="81"/>
      <x:c r="O72" s="81"/>
      <x:c r="P72" s="81"/>
      <x:c r="Q72" s="81"/>
      <x:c r="R72" s="81"/>
      <x:c r="S72" s="81"/>
      <x:c r="T72" s="81"/>
      <x:c r="U72" s="81"/>
      <x:c r="V72" s="81"/>
      <x:c r="W72" s="81"/>
      <x:c r="X72" s="81"/>
      <x:c r="Y72" s="81"/>
      <x:c r="Z72" s="81"/>
      <x:c r="AA72" s="81"/>
      <x:c r="AB72" s="81"/>
      <x:c r="AC72" s="81"/>
      <x:c r="AD72" s="81"/>
      <x:c r="AE72" s="81"/>
      <x:c r="AF72" s="81"/>
      <x:c r="AG72" s="81"/>
    </x:row>
    <x:row r="73" ht="25" customHeight="1">
      <x:c r="A73" s="63" t="str">
        <x:v>3F-19</x:v>
      </x:c>
      <x:c r="B73" s="63" t="str">
        <x:v>3F</x:v>
      </x:c>
      <x:c r="C73" s="80"/>
      <x:c r="D73" s="80"/>
      <x:c r="E73" s="80"/>
      <x:c r="F73" s="80"/>
      <x:c r="G73" s="80"/>
      <x:c r="H73" s="80"/>
      <x:c r="I73" s="80"/>
      <x:c r="J73" s="80"/>
      <x:c r="K73" s="80"/>
      <x:c r="L73" s="80"/>
      <x:c r="M73" s="80"/>
      <x:c r="N73" s="80"/>
      <x:c r="O73" s="80"/>
      <x:c r="P73" s="80"/>
      <x:c r="Q73" s="80"/>
      <x:c r="R73" s="80"/>
      <x:c r="S73" s="80"/>
      <x:c r="T73" s="80"/>
      <x:c r="U73" s="80"/>
      <x:c r="V73" s="80"/>
      <x:c r="W73" s="80"/>
      <x:c r="X73" s="80"/>
      <x:c r="Y73" s="80"/>
      <x:c r="Z73" s="80"/>
      <x:c r="AA73" s="80"/>
      <x:c r="AB73" s="80"/>
      <x:c r="AC73" s="80"/>
      <x:c r="AD73" s="80"/>
      <x:c r="AE73" s="80"/>
      <x:c r="AF73" s="80"/>
      <x:c r="AG73" s="80"/>
    </x:row>
    <x:row r="74" ht="25" customHeight="1">
      <x:c r="A74" s="63" t="str">
        <x:v>3F-20</x:v>
      </x:c>
      <x:c r="B74" s="63" t="str">
        <x:v>3F</x:v>
      </x:c>
      <x:c r="C74" s="81"/>
      <x:c r="D74" s="81"/>
      <x:c r="E74" s="81"/>
      <x:c r="F74" s="81"/>
      <x:c r="G74" s="81"/>
      <x:c r="H74" s="81"/>
      <x:c r="I74" s="81"/>
      <x:c r="J74" s="81"/>
      <x:c r="K74" s="81"/>
      <x:c r="L74" s="81"/>
      <x:c r="M74" s="81"/>
      <x:c r="N74" s="81"/>
      <x:c r="O74" s="81"/>
      <x:c r="P74" s="81"/>
      <x:c r="Q74" s="81"/>
      <x:c r="R74" s="81"/>
      <x:c r="S74" s="81"/>
      <x:c r="T74" s="81"/>
      <x:c r="U74" s="81"/>
      <x:c r="V74" s="81"/>
      <x:c r="W74" s="81"/>
      <x:c r="X74" s="81"/>
      <x:c r="Y74" s="81"/>
      <x:c r="Z74" s="81"/>
      <x:c r="AA74" s="81"/>
      <x:c r="AB74" s="81"/>
      <x:c r="AC74" s="81"/>
      <x:c r="AD74" s="81"/>
      <x:c r="AE74" s="81"/>
      <x:c r="AF74" s="81"/>
      <x:c r="AG74" s="81"/>
    </x:row>
    <x:row r="75" ht="25" customHeight="1">
      <x:c r="A75" s="63" t="str">
        <x:v>3F-21</x:v>
      </x:c>
      <x:c r="B75" s="63" t="str">
        <x:v>3F</x:v>
      </x:c>
      <x:c r="C75" s="80"/>
      <x:c r="D75" s="80"/>
      <x:c r="E75" s="80"/>
      <x:c r="F75" s="80"/>
      <x:c r="G75" s="80"/>
      <x:c r="H75" s="80"/>
      <x:c r="I75" s="80"/>
      <x:c r="J75" s="80"/>
      <x:c r="K75" s="80"/>
      <x:c r="L75" s="80"/>
      <x:c r="M75" s="80"/>
      <x:c r="N75" s="80"/>
      <x:c r="O75" s="80"/>
      <x:c r="P75" s="80"/>
      <x:c r="Q75" s="80"/>
      <x:c r="R75" s="80"/>
      <x:c r="S75" s="80"/>
      <x:c r="T75" s="80"/>
      <x:c r="U75" s="80"/>
      <x:c r="V75" s="80"/>
      <x:c r="W75" s="80"/>
      <x:c r="X75" s="80"/>
      <x:c r="Y75" s="80"/>
      <x:c r="Z75" s="80"/>
      <x:c r="AA75" s="80"/>
      <x:c r="AB75" s="80"/>
      <x:c r="AC75" s="80"/>
      <x:c r="AD75" s="80"/>
      <x:c r="AE75" s="80"/>
      <x:c r="AF75" s="80"/>
      <x:c r="AG75" s="80"/>
    </x:row>
    <x:row r="76" ht="25" customHeight="1">
      <x:c r="A76" s="63" t="str">
        <x:v>3F-22</x:v>
      </x:c>
      <x:c r="B76" s="63" t="str">
        <x:v>3F</x:v>
      </x:c>
      <x:c r="C76" s="81"/>
      <x:c r="D76" s="81"/>
      <x:c r="E76" s="81"/>
      <x:c r="F76" s="81"/>
      <x:c r="G76" s="81"/>
      <x:c r="H76" s="81"/>
      <x:c r="I76" s="81"/>
      <x:c r="J76" s="81"/>
      <x:c r="K76" s="81"/>
      <x:c r="L76" s="81"/>
      <x:c r="M76" s="81"/>
      <x:c r="N76" s="81"/>
      <x:c r="O76" s="81"/>
      <x:c r="P76" s="81"/>
      <x:c r="Q76" s="81"/>
      <x:c r="R76" s="81"/>
      <x:c r="S76" s="81"/>
      <x:c r="T76" s="81"/>
      <x:c r="U76" s="81"/>
      <x:c r="V76" s="81"/>
      <x:c r="W76" s="81"/>
      <x:c r="X76" s="81"/>
      <x:c r="Y76" s="81"/>
      <x:c r="Z76" s="81"/>
      <x:c r="AA76" s="81"/>
      <x:c r="AB76" s="81"/>
      <x:c r="AC76" s="81"/>
      <x:c r="AD76" s="81"/>
      <x:c r="AE76" s="81"/>
      <x:c r="AF76" s="81"/>
      <x:c r="AG76" s="81"/>
    </x:row>
    <x:row r="77" ht="25" customHeight="1">
      <x:c r="A77" s="63" t="str">
        <x:v>3F-23</x:v>
      </x:c>
      <x:c r="B77" s="63" t="str">
        <x:v>3F</x:v>
      </x:c>
      <x:c r="C77" s="80"/>
      <x:c r="D77" s="80"/>
      <x:c r="E77" s="80"/>
      <x:c r="F77" s="80"/>
      <x:c r="G77" s="80"/>
      <x:c r="H77" s="80"/>
      <x:c r="I77" s="80"/>
      <x:c r="J77" s="80"/>
      <x:c r="K77" s="80"/>
      <x:c r="L77" s="80"/>
      <x:c r="M77" s="80"/>
      <x:c r="N77" s="80"/>
      <x:c r="O77" s="80"/>
      <x:c r="P77" s="80"/>
      <x:c r="Q77" s="80"/>
      <x:c r="R77" s="80"/>
      <x:c r="S77" s="80"/>
      <x:c r="T77" s="80"/>
      <x:c r="U77" s="80"/>
      <x:c r="V77" s="80"/>
      <x:c r="W77" s="80"/>
      <x:c r="X77" s="80"/>
      <x:c r="Y77" s="80"/>
      <x:c r="Z77" s="80"/>
      <x:c r="AA77" s="80"/>
      <x:c r="AB77" s="80"/>
      <x:c r="AC77" s="80"/>
      <x:c r="AD77" s="80"/>
      <x:c r="AE77" s="80"/>
      <x:c r="AF77" s="80"/>
      <x:c r="AG77" s="80"/>
    </x:row>
    <x:row r="78" ht="25" customHeight="1">
      <x:c r="A78" s="63" t="str">
        <x:v>3F-24</x:v>
      </x:c>
      <x:c r="B78" s="63" t="str">
        <x:v>3F</x:v>
      </x:c>
      <x:c r="C78" s="81"/>
      <x:c r="D78" s="81"/>
      <x:c r="E78" s="81"/>
      <x:c r="F78" s="81"/>
      <x:c r="G78" s="81"/>
      <x:c r="H78" s="81"/>
      <x:c r="I78" s="81"/>
      <x:c r="J78" s="81"/>
      <x:c r="K78" s="81"/>
      <x:c r="L78" s="81"/>
      <x:c r="M78" s="81"/>
      <x:c r="N78" s="81"/>
      <x:c r="O78" s="81"/>
      <x:c r="P78" s="81"/>
      <x:c r="Q78" s="81"/>
      <x:c r="R78" s="81"/>
      <x:c r="S78" s="81"/>
      <x:c r="T78" s="81"/>
      <x:c r="U78" s="81"/>
      <x:c r="V78" s="81"/>
      <x:c r="W78" s="81"/>
      <x:c r="X78" s="81"/>
      <x:c r="Y78" s="81"/>
      <x:c r="Z78" s="81"/>
      <x:c r="AA78" s="81"/>
      <x:c r="AB78" s="81"/>
      <x:c r="AC78" s="81"/>
      <x:c r="AD78" s="81"/>
      <x:c r="AE78" s="81"/>
      <x:c r="AF78" s="81"/>
      <x:c r="AG78" s="81"/>
    </x:row>
    <x:row r="79" ht="25" customHeight="1">
      <x:c r="A79" s="56"/>
      <x:c r="B79" s="56"/>
      <x:c r="C79" s="56"/>
      <x:c r="D79" s="56"/>
      <x:c r="E79" s="56"/>
      <x:c r="F79" s="56"/>
      <x:c r="G79" s="56"/>
      <x:c r="H79" s="56"/>
      <x:c r="I79" s="56"/>
      <x:c r="J79" s="56"/>
      <x:c r="K79" s="56"/>
      <x:c r="L79" s="56"/>
      <x:c r="M79" s="56"/>
      <x:c r="N79" s="56"/>
      <x:c r="O79" s="56"/>
      <x:c r="P79" s="56"/>
      <x:c r="Q79" s="56"/>
      <x:c r="R79" s="56"/>
      <x:c r="S79" s="56"/>
      <x:c r="T79" s="56"/>
      <x:c r="U79" s="56"/>
      <x:c r="V79" s="56"/>
      <x:c r="W79" s="56"/>
      <x:c r="X79" s="56"/>
      <x:c r="Y79" s="56"/>
      <x:c r="Z79" s="56"/>
      <x:c r="AA79" s="56"/>
      <x:c r="AB79" s="56"/>
      <x:c r="AC79" s="56"/>
      <x:c r="AD79" s="56"/>
      <x:c r="AE79" s="56"/>
      <x:c r="AF79" s="56"/>
      <x:c r="AG79" s="56"/>
    </x:row>
  </x:sheetData>
  <x:dataValidations count="2">
    <x:dataValidation type="list" sqref="C7:AG66">
      <x:formula1>"早,日,遅,夜,明,休,有,希"</x:formula1>
    </x:dataValidation>
    <x:dataValidation type="list" sqref="C7:AG78">
      <x:formula1>"早,日,遅,夜,明,休,有,午,後,短A,短B"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8" hidden="0" customWidth="1"/>
    <x:col min="5" max="5" width="14" hidden="0" customWidth="1"/>
    <x:col min="6" max="6" width="19" hidden="0" customWidth="1"/>
    <x:col min="7" max="7" width="19" hidden="0" customWidth="1"/>
    <x:col min="8" max="8" width="19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24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</x:cols>
  <x:sheetData>
    <x:row r="1" ht="25" customHeight="1">
      <x:c r="A1" s="56"/>
      <x:c r="B1" s="56"/>
      <x:c r="C1" s="56"/>
      <x:c r="D1" s="56"/>
      <x:c r="E1" s="56"/>
      <x:c r="F1" s="56"/>
      <x:c r="G1" s="56"/>
      <x:c r="H1" s="56"/>
      <x:c r="I1" s="56"/>
      <x:c r="J1" s="56"/>
      <x:c r="K1" s="56"/>
      <x:c r="L1" s="56"/>
      <x:c r="M1" s="56"/>
      <x:c r="N1" s="56"/>
      <x:c r="O1" s="56"/>
      <x:c r="P1" s="56"/>
      <x:c r="Q1" s="56"/>
      <x:c r="R1" s="56"/>
      <x:c r="S1" s="56"/>
    </x:row>
    <x:row r="2" ht="25" customHeight="1">
      <x:c r="A2" s="57" t="str">
        <x:v>職員マスター（架空72人・人数案は未確定）</x:v>
      </x:c>
      <x:c r="B2" s="56"/>
      <x:c r="C2" s="56"/>
      <x:c r="D2" s="56"/>
      <x:c r="E2" s="56"/>
      <x:c r="F2" s="56"/>
      <x:c r="G2" s="56"/>
      <x:c r="H2" s="56"/>
      <x:c r="I2" s="56"/>
      <x:c r="J2" s="56"/>
      <x:c r="K2" s="56"/>
      <x:c r="L2" s="56"/>
      <x:c r="M2" s="56"/>
      <x:c r="N2" s="56"/>
      <x:c r="O2" s="56"/>
      <x:c r="P2" s="56"/>
      <x:c r="Q2" s="56"/>
      <x:c r="R2" s="56"/>
      <x:c r="S2" s="56"/>
    </x:row>
    <x:row r="3" ht="25" customHeight="1">
      <x:c r="A3" s="58" t="str">
        <x:v>60人のIDを保持し、各階4人の短時間パート候補を追加。属性・契約・上限は試作用の仮設定です。</x:v>
      </x:c>
      <x:c r="B3" s="56"/>
      <x:c r="C3" s="56"/>
      <x:c r="D3" s="56"/>
      <x:c r="E3" s="56"/>
      <x:c r="F3" s="56"/>
      <x:c r="G3" s="56"/>
      <x:c r="H3" s="56"/>
      <x:c r="I3" s="56"/>
      <x:c r="J3" s="56"/>
      <x:c r="K3" s="56"/>
      <x:c r="L3" s="56"/>
      <x:c r="M3" s="56"/>
      <x:c r="N3" s="56"/>
      <x:c r="O3" s="56"/>
      <x:c r="P3" s="56"/>
      <x:c r="Q3" s="56"/>
      <x:c r="R3" s="56"/>
      <x:c r="S3" s="56"/>
    </x:row>
    <x:row r="4" ht="25" customHeight="1">
      <x:c r="A4" s="56"/>
      <x:c r="B4" s="56"/>
      <x:c r="C4" s="56"/>
      <x:c r="D4" s="56"/>
      <x:c r="E4" s="56"/>
      <x:c r="F4" s="56"/>
      <x:c r="G4" s="56"/>
      <x:c r="H4" s="56"/>
      <x:c r="I4" s="56"/>
      <x:c r="J4" s="56"/>
      <x:c r="K4" s="56"/>
      <x:c r="L4" s="56"/>
      <x:c r="M4" s="56"/>
      <x:c r="N4" s="56"/>
      <x:c r="O4" s="56"/>
      <x:c r="P4" s="56"/>
      <x:c r="Q4" s="56"/>
      <x:c r="R4" s="56"/>
      <x:c r="S4" s="56"/>
    </x:row>
    <x:row r="5" ht="38" customHeight="1">
      <x:c r="A5" s="62" t="str">
        <x:v>職員ID</x:v>
      </x:c>
      <x:c r="B5" s="62" t="str">
        <x:v>所属フロア</x:v>
      </x:c>
      <x:c r="C5" s="62" t="str">
        <x:v>勤務区分</x:v>
      </x:c>
      <x:c r="D5" s="62" t="str">
        <x:v>資格区分</x:v>
      </x:c>
      <x:c r="E5" s="62" t="str">
        <x:v>経験区分</x:v>
      </x:c>
      <x:c r="F5" s="62" t="str">
        <x:v>長時間夜勤可否</x:v>
      </x:c>
      <x:c r="G5" s="62" t="str">
        <x:v>応援可否</x:v>
      </x:c>
      <x:c r="H5" s="62" t="str">
        <x:v>長時間夜勤上限／月</x:v>
      </x:c>
      <x:c r="I5" s="62" t="str">
        <x:v>性別</x:v>
      </x:c>
      <x:c r="J5" s="62" t="str">
        <x:v>年齢（基準日）</x:v>
      </x:c>
      <x:c r="K5" s="62" t="str">
        <x:v>入職日</x:v>
      </x:c>
      <x:c r="L5" s="62" t="str">
        <x:v>勤続年数</x:v>
      </x:c>
      <x:c r="M5" s="62" t="str">
        <x:v>統括対応可否</x:v>
      </x:c>
      <x:c r="N5" s="62" t="str">
        <x:v>勤務可能コード</x:v>
      </x:c>
      <x:c r="O5" s="62" t="str">
        <x:v>週契約時間</x:v>
      </x:c>
      <x:c r="P5" s="62" t="str">
        <x:v>週契約日数</x:v>
      </x:c>
      <x:c r="Q5" s="62" t="str">
        <x:v>年度公休目標</x:v>
      </x:c>
      <x:c r="R5" s="62" t="str">
        <x:v>データ区分</x:v>
      </x:c>
      <x:c r="S5" s="62" t="str">
        <x:v>夜間短時間上限／月</x:v>
      </x:c>
    </x:row>
    <x:row r="6" ht="25" customHeight="1">
      <x:c r="A6" s="64" t="str">
        <x:v>1F-01</x:v>
      </x:c>
      <x:c r="B6" s="64" t="str">
        <x:v>1F</x:v>
      </x:c>
      <x:c r="C6" s="63" t="str">
        <x:v>常勤</x:v>
      </x:c>
      <x:c r="D6" s="63" t="str">
        <x:v>介護福祉士</x:v>
      </x:c>
      <x:c r="E6" s="63" t="str">
        <x:v>ベテラン</x:v>
      </x:c>
      <x:c r="F6" s="63" t="str">
        <x:v>可</x:v>
      </x:c>
      <x:c r="G6" s="63" t="str">
        <x:v>可</x:v>
      </x:c>
      <x:c r="H6" s="63" t="n">
        <x:v>5</x:v>
      </x:c>
      <x:c r="I6" s="63" t="str">
        <x:v>女性</x:v>
      </x:c>
      <x:c r="J6" s="68" t="n">
        <x:v>34</x:v>
      </x:c>
      <x:c r="K6" s="66" t="n">
        <x:v>45383</x:v>
      </x:c>
      <x:c r="L6" s="68" t="n">
        <x:f>YEAR('施設設定'!$B$6)-YEAR(K6)-IF(MONTH('施設設定'!$B$6)*100+DAY('施設設定'!$B$6)&lt;MONTH(K6)*100+DAY(K6),1,0)</x:f>
        <x:v>2</x:v>
      </x:c>
      <x:c r="M6" s="63" t="str">
        <x:v>可</x:v>
      </x:c>
      <x:c r="N6" s="63" t="str">
        <x:v>早・日・遅・夜</x:v>
      </x:c>
      <x:c r="O6" s="63" t="n">
        <x:v>40</x:v>
      </x:c>
      <x:c r="P6" s="63"/>
      <x:c r="Q6" s="63" t="n">
        <x:f>'施設設定'!$B$9</x:f>
        <x:v>111</x:v>
      </x:c>
      <x:c r="R6" s="63" t="str">
        <x:v>既存サンプル</x:v>
      </x:c>
      <x:c r="S6" s="63" t="n">
        <x:v>0</x:v>
      </x:c>
    </x:row>
    <x:row r="7" ht="25" customHeight="1">
      <x:c r="A7" s="65" t="str">
        <x:v>1F-02</x:v>
      </x:c>
      <x:c r="B7" s="65" t="str">
        <x:v>1F</x:v>
      </x:c>
      <x:c r="C7" s="56" t="str">
        <x:v>常勤</x:v>
      </x:c>
      <x:c r="D7" s="56" t="str">
        <x:v>介護福祉士</x:v>
      </x:c>
      <x:c r="E7" s="56" t="str">
        <x:v>ベテラン</x:v>
      </x:c>
      <x:c r="F7" s="56" t="str">
        <x:v>可</x:v>
      </x:c>
      <x:c r="G7" s="56" t="str">
        <x:v>可</x:v>
      </x:c>
      <x:c r="H7" s="56" t="n">
        <x:v>5</x:v>
      </x:c>
      <x:c r="I7" s="56" t="str">
        <x:v>男性</x:v>
      </x:c>
      <x:c r="J7" s="69" t="n">
        <x:v>41</x:v>
      </x:c>
      <x:c r="K7" s="67" t="n">
        <x:v>45017</x:v>
      </x:c>
      <x:c r="L7" s="69" t="n">
        <x:f>YEAR('施設設定'!$B$6)-YEAR(K7)-IF(MONTH('施設設定'!$B$6)*100+DAY('施設設定'!$B$6)&lt;MONTH(K7)*100+DAY(K7),1,0)</x:f>
        <x:v>3</x:v>
      </x:c>
      <x:c r="M7" s="56" t="str">
        <x:v>可</x:v>
      </x:c>
      <x:c r="N7" s="56" t="str">
        <x:v>早・日・遅・夜</x:v>
      </x:c>
      <x:c r="O7" s="56" t="n">
        <x:v>40</x:v>
      </x:c>
      <x:c r="P7" s="56"/>
      <x:c r="Q7" s="56" t="n">
        <x:f>'施設設定'!$B$9</x:f>
        <x:v>111</x:v>
      </x:c>
      <x:c r="R7" s="56" t="str">
        <x:v>既存サンプル</x:v>
      </x:c>
      <x:c r="S7" s="56" t="n">
        <x:v>0</x:v>
      </x:c>
    </x:row>
    <x:row r="8" ht="25" customHeight="1">
      <x:c r="A8" s="64" t="str">
        <x:v>1F-03</x:v>
      </x:c>
      <x:c r="B8" s="64" t="str">
        <x:v>1F</x:v>
      </x:c>
      <x:c r="C8" s="63" t="str">
        <x:v>常勤</x:v>
      </x:c>
      <x:c r="D8" s="63" t="str">
        <x:v>介護福祉士</x:v>
      </x:c>
      <x:c r="E8" s="63" t="str">
        <x:v>ベテラン</x:v>
      </x:c>
      <x:c r="F8" s="63" t="str">
        <x:v>可</x:v>
      </x:c>
      <x:c r="G8" s="63" t="str">
        <x:v>可</x:v>
      </x:c>
      <x:c r="H8" s="63" t="n">
        <x:v>5</x:v>
      </x:c>
      <x:c r="I8" s="63" t="str">
        <x:v>女性</x:v>
      </x:c>
      <x:c r="J8" s="68" t="n">
        <x:v>48</x:v>
      </x:c>
      <x:c r="K8" s="66" t="n">
        <x:v>44652</x:v>
      </x:c>
      <x:c r="L8" s="68" t="n">
        <x:f>YEAR('施設設定'!$B$6)-YEAR(K8)-IF(MONTH('施設設定'!$B$6)*100+DAY('施設設定'!$B$6)&lt;MONTH(K8)*100+DAY(K8),1,0)</x:f>
        <x:v>4</x:v>
      </x:c>
      <x:c r="M8" s="63" t="str">
        <x:v>可</x:v>
      </x:c>
      <x:c r="N8" s="63" t="str">
        <x:v>早・日・遅・夜</x:v>
      </x:c>
      <x:c r="O8" s="63" t="n">
        <x:v>40</x:v>
      </x:c>
      <x:c r="P8" s="63"/>
      <x:c r="Q8" s="63" t="n">
        <x:f>'施設設定'!$B$9</x:f>
        <x:v>111</x:v>
      </x:c>
      <x:c r="R8" s="63" t="str">
        <x:v>既存サンプル</x:v>
      </x:c>
      <x:c r="S8" s="63" t="n">
        <x:v>0</x:v>
      </x:c>
    </x:row>
    <x:row r="9" ht="25" customHeight="1">
      <x:c r="A9" s="65" t="str">
        <x:v>1F-04</x:v>
      </x:c>
      <x:c r="B9" s="65" t="str">
        <x:v>1F</x:v>
      </x:c>
      <x:c r="C9" s="56" t="str">
        <x:v>常勤</x:v>
      </x:c>
      <x:c r="D9" s="56" t="str">
        <x:v>介護福祉士</x:v>
      </x:c>
      <x:c r="E9" s="56" t="str">
        <x:v>ベテラン</x:v>
      </x:c>
      <x:c r="F9" s="56" t="str">
        <x:v>可</x:v>
      </x:c>
      <x:c r="G9" s="56" t="str">
        <x:v>可</x:v>
      </x:c>
      <x:c r="H9" s="56" t="n">
        <x:v>5</x:v>
      </x:c>
      <x:c r="I9" s="56" t="str">
        <x:v>男性</x:v>
      </x:c>
      <x:c r="J9" s="69" t="n">
        <x:v>55</x:v>
      </x:c>
      <x:c r="K9" s="67" t="n">
        <x:v>44287</x:v>
      </x:c>
      <x:c r="L9" s="69" t="n">
        <x:f>YEAR('施設設定'!$B$6)-YEAR(K9)-IF(MONTH('施設設定'!$B$6)*100+DAY('施設設定'!$B$6)&lt;MONTH(K9)*100+DAY(K9),1,0)</x:f>
        <x:v>5</x:v>
      </x:c>
      <x:c r="M9" s="56" t="str">
        <x:v>可</x:v>
      </x:c>
      <x:c r="N9" s="56" t="str">
        <x:v>早・日・遅・夜</x:v>
      </x:c>
      <x:c r="O9" s="56" t="n">
        <x:v>40</x:v>
      </x:c>
      <x:c r="P9" s="56"/>
      <x:c r="Q9" s="56" t="n">
        <x:f>'施設設定'!$B$9</x:f>
        <x:v>111</x:v>
      </x:c>
      <x:c r="R9" s="56" t="str">
        <x:v>既存サンプル</x:v>
      </x:c>
      <x:c r="S9" s="56" t="n">
        <x:v>0</x:v>
      </x:c>
    </x:row>
    <x:row r="10" ht="25" customHeight="1">
      <x:c r="A10" s="64" t="str">
        <x:v>1F-05</x:v>
      </x:c>
      <x:c r="B10" s="64" t="str">
        <x:v>1F</x:v>
      </x:c>
      <x:c r="C10" s="63" t="str">
        <x:v>常勤</x:v>
      </x:c>
      <x:c r="D10" s="63" t="str">
        <x:v>介護福祉士</x:v>
      </x:c>
      <x:c r="E10" s="63" t="str">
        <x:v>ベテラン</x:v>
      </x:c>
      <x:c r="F10" s="63" t="str">
        <x:v>可</x:v>
      </x:c>
      <x:c r="G10" s="63" t="str">
        <x:v>原則不可</x:v>
      </x:c>
      <x:c r="H10" s="63" t="n">
        <x:v>5</x:v>
      </x:c>
      <x:c r="I10" s="63" t="str">
        <x:v>女性</x:v>
      </x:c>
      <x:c r="J10" s="68" t="n">
        <x:v>62</x:v>
      </x:c>
      <x:c r="K10" s="66" t="n">
        <x:v>43922</x:v>
      </x:c>
      <x:c r="L10" s="68" t="n">
        <x:f>YEAR('施設設定'!$B$6)-YEAR(K10)-IF(MONTH('施設設定'!$B$6)*100+DAY('施設設定'!$B$6)&lt;MONTH(K10)*100+DAY(K10),1,0)</x:f>
        <x:v>6</x:v>
      </x:c>
      <x:c r="M10" s="63" t="str">
        <x:v>可</x:v>
      </x:c>
      <x:c r="N10" s="63" t="str">
        <x:v>早・日・遅・夜</x:v>
      </x:c>
      <x:c r="O10" s="63" t="n">
        <x:v>40</x:v>
      </x:c>
      <x:c r="P10" s="63"/>
      <x:c r="Q10" s="63" t="n">
        <x:f>'施設設定'!$B$9</x:f>
        <x:v>111</x:v>
      </x:c>
      <x:c r="R10" s="63" t="str">
        <x:v>既存サンプル</x:v>
      </x:c>
      <x:c r="S10" s="63" t="n">
        <x:v>0</x:v>
      </x:c>
    </x:row>
    <x:row r="11" ht="25" customHeight="1">
      <x:c r="A11" s="65" t="str">
        <x:v>1F-06</x:v>
      </x:c>
      <x:c r="B11" s="65" t="str">
        <x:v>1F</x:v>
      </x:c>
      <x:c r="C11" s="56" t="str">
        <x:v>常勤</x:v>
      </x:c>
      <x:c r="D11" s="56" t="str">
        <x:v>介護福祉士</x:v>
      </x:c>
      <x:c r="E11" s="56" t="str">
        <x:v>ベテラン</x:v>
      </x:c>
      <x:c r="F11" s="56" t="str">
        <x:v>可</x:v>
      </x:c>
      <x:c r="G11" s="56" t="str">
        <x:v>原則不可</x:v>
      </x:c>
      <x:c r="H11" s="56" t="n">
        <x:v>5</x:v>
      </x:c>
      <x:c r="I11" s="56" t="str">
        <x:v>男性</x:v>
      </x:c>
      <x:c r="J11" s="69" t="n">
        <x:v>29</x:v>
      </x:c>
      <x:c r="K11" s="67" t="n">
        <x:v>43556</x:v>
      </x:c>
      <x:c r="L11" s="69" t="n">
        <x:f>YEAR('施設設定'!$B$6)-YEAR(K11)-IF(MONTH('施設設定'!$B$6)*100+DAY('施設設定'!$B$6)&lt;MONTH(K11)*100+DAY(K11),1,0)</x:f>
        <x:v>7</x:v>
      </x:c>
      <x:c r="M11" s="56" t="str">
        <x:v>可</x:v>
      </x:c>
      <x:c r="N11" s="56" t="str">
        <x:v>早・日・遅・夜</x:v>
      </x:c>
      <x:c r="O11" s="56" t="n">
        <x:v>40</x:v>
      </x:c>
      <x:c r="P11" s="56"/>
      <x:c r="Q11" s="56" t="n">
        <x:f>'施設設定'!$B$9</x:f>
        <x:v>111</x:v>
      </x:c>
      <x:c r="R11" s="56" t="str">
        <x:v>既存サンプル</x:v>
      </x:c>
      <x:c r="S11" s="56" t="n">
        <x:v>0</x:v>
      </x:c>
    </x:row>
    <x:row r="12" ht="25" customHeight="1">
      <x:c r="A12" s="64" t="str">
        <x:v>1F-07</x:v>
      </x:c>
      <x:c r="B12" s="64" t="str">
        <x:v>1F</x:v>
      </x:c>
      <x:c r="C12" s="63" t="str">
        <x:v>常勤</x:v>
      </x:c>
      <x:c r="D12" s="63" t="str">
        <x:v>介護福祉士</x:v>
      </x:c>
      <x:c r="E12" s="63" t="str">
        <x:v>中堅</x:v>
      </x:c>
      <x:c r="F12" s="63" t="str">
        <x:v>可</x:v>
      </x:c>
      <x:c r="G12" s="63" t="str">
        <x:v>原則不可</x:v>
      </x:c>
      <x:c r="H12" s="63" t="n">
        <x:v>5</x:v>
      </x:c>
      <x:c r="I12" s="63" t="str">
        <x:v>女性</x:v>
      </x:c>
      <x:c r="J12" s="68" t="n">
        <x:v>36</x:v>
      </x:c>
      <x:c r="K12" s="66" t="n">
        <x:v>43191</x:v>
      </x:c>
      <x:c r="L12" s="68" t="n">
        <x:f>YEAR('施設設定'!$B$6)-YEAR(K12)-IF(MONTH('施設設定'!$B$6)*100+DAY('施設設定'!$B$6)&lt;MONTH(K12)*100+DAY(K12),1,0)</x:f>
        <x:v>8</x:v>
      </x:c>
      <x:c r="M12" s="63" t="str">
        <x:v>不可</x:v>
      </x:c>
      <x:c r="N12" s="63" t="str">
        <x:v>早・日・遅・夜</x:v>
      </x:c>
      <x:c r="O12" s="63" t="n">
        <x:v>40</x:v>
      </x:c>
      <x:c r="P12" s="63"/>
      <x:c r="Q12" s="63" t="n">
        <x:f>'施設設定'!$B$9</x:f>
        <x:v>111</x:v>
      </x:c>
      <x:c r="R12" s="63" t="str">
        <x:v>既存サンプル</x:v>
      </x:c>
      <x:c r="S12" s="63" t="n">
        <x:v>0</x:v>
      </x:c>
    </x:row>
    <x:row r="13" ht="25" customHeight="1">
      <x:c r="A13" s="65" t="str">
        <x:v>1F-08</x:v>
      </x:c>
      <x:c r="B13" s="65" t="str">
        <x:v>1F</x:v>
      </x:c>
      <x:c r="C13" s="56" t="str">
        <x:v>常勤</x:v>
      </x:c>
      <x:c r="D13" s="56" t="str">
        <x:v>介護福祉士</x:v>
      </x:c>
      <x:c r="E13" s="56" t="str">
        <x:v>中堅</x:v>
      </x:c>
      <x:c r="F13" s="56" t="str">
        <x:v>可</x:v>
      </x:c>
      <x:c r="G13" s="56" t="str">
        <x:v>原則不可</x:v>
      </x:c>
      <x:c r="H13" s="56" t="n">
        <x:v>5</x:v>
      </x:c>
      <x:c r="I13" s="56" t="str">
        <x:v>男性</x:v>
      </x:c>
      <x:c r="J13" s="69" t="n">
        <x:v>43</x:v>
      </x:c>
      <x:c r="K13" s="67" t="n">
        <x:v>42826</x:v>
      </x:c>
      <x:c r="L13" s="69" t="n">
        <x:f>YEAR('施設設定'!$B$6)-YEAR(K13)-IF(MONTH('施設設定'!$B$6)*100+DAY('施設設定'!$B$6)&lt;MONTH(K13)*100+DAY(K13),1,0)</x:f>
        <x:v>9</x:v>
      </x:c>
      <x:c r="M13" s="56" t="str">
        <x:v>不可</x:v>
      </x:c>
      <x:c r="N13" s="56" t="str">
        <x:v>早・日・遅・夜</x:v>
      </x:c>
      <x:c r="O13" s="56" t="n">
        <x:v>40</x:v>
      </x:c>
      <x:c r="P13" s="56"/>
      <x:c r="Q13" s="56" t="n">
        <x:f>'施設設定'!$B$9</x:f>
        <x:v>111</x:v>
      </x:c>
      <x:c r="R13" s="56" t="str">
        <x:v>既存サンプル</x:v>
      </x:c>
      <x:c r="S13" s="56" t="n">
        <x:v>0</x:v>
      </x:c>
    </x:row>
    <x:row r="14" ht="25" customHeight="1">
      <x:c r="A14" s="64" t="str">
        <x:v>1F-09</x:v>
      </x:c>
      <x:c r="B14" s="64" t="str">
        <x:v>1F</x:v>
      </x:c>
      <x:c r="C14" s="63" t="str">
        <x:v>常勤</x:v>
      </x:c>
      <x:c r="D14" s="63" t="str">
        <x:v>介護福祉士</x:v>
      </x:c>
      <x:c r="E14" s="63" t="str">
        <x:v>中堅</x:v>
      </x:c>
      <x:c r="F14" s="63" t="str">
        <x:v>可</x:v>
      </x:c>
      <x:c r="G14" s="63" t="str">
        <x:v>原則不可</x:v>
      </x:c>
      <x:c r="H14" s="63" t="n">
        <x:v>5</x:v>
      </x:c>
      <x:c r="I14" s="63" t="str">
        <x:v>女性</x:v>
      </x:c>
      <x:c r="J14" s="68" t="n">
        <x:v>50</x:v>
      </x:c>
      <x:c r="K14" s="66" t="n">
        <x:v>42461</x:v>
      </x:c>
      <x:c r="L14" s="68" t="n">
        <x:f>YEAR('施設設定'!$B$6)-YEAR(K14)-IF(MONTH('施設設定'!$B$6)*100+DAY('施設設定'!$B$6)&lt;MONTH(K14)*100+DAY(K14),1,0)</x:f>
        <x:v>10</x:v>
      </x:c>
      <x:c r="M14" s="63" t="str">
        <x:v>不可</x:v>
      </x:c>
      <x:c r="N14" s="63" t="str">
        <x:v>早・日・遅・夜</x:v>
      </x:c>
      <x:c r="O14" s="63" t="n">
        <x:v>40</x:v>
      </x:c>
      <x:c r="P14" s="63"/>
      <x:c r="Q14" s="63" t="n">
        <x:f>'施設設定'!$B$9</x:f>
        <x:v>111</x:v>
      </x:c>
      <x:c r="R14" s="63" t="str">
        <x:v>既存サンプル</x:v>
      </x:c>
      <x:c r="S14" s="63" t="n">
        <x:v>0</x:v>
      </x:c>
    </x:row>
    <x:row r="15" ht="25" customHeight="1">
      <x:c r="A15" s="65" t="str">
        <x:v>1F-10</x:v>
      </x:c>
      <x:c r="B15" s="65" t="str">
        <x:v>1F</x:v>
      </x:c>
      <x:c r="C15" s="56" t="str">
        <x:v>常勤</x:v>
      </x:c>
      <x:c r="D15" s="56" t="str">
        <x:v>介護福祉士</x:v>
      </x:c>
      <x:c r="E15" s="56" t="str">
        <x:v>中堅</x:v>
      </x:c>
      <x:c r="F15" s="56" t="str">
        <x:v>可</x:v>
      </x:c>
      <x:c r="G15" s="56" t="str">
        <x:v>原則不可</x:v>
      </x:c>
      <x:c r="H15" s="56" t="n">
        <x:v>5</x:v>
      </x:c>
      <x:c r="I15" s="56" t="str">
        <x:v>男性</x:v>
      </x:c>
      <x:c r="J15" s="69" t="n">
        <x:v>57</x:v>
      </x:c>
      <x:c r="K15" s="67" t="n">
        <x:v>42095</x:v>
      </x:c>
      <x:c r="L15" s="69" t="n">
        <x:f>YEAR('施設設定'!$B$6)-YEAR(K15)-IF(MONTH('施設設定'!$B$6)*100+DAY('施設設定'!$B$6)&lt;MONTH(K15)*100+DAY(K15),1,0)</x:f>
        <x:v>11</x:v>
      </x:c>
      <x:c r="M15" s="56" t="str">
        <x:v>不可</x:v>
      </x:c>
      <x:c r="N15" s="56" t="str">
        <x:v>早・日・遅・夜</x:v>
      </x:c>
      <x:c r="O15" s="56" t="n">
        <x:v>40</x:v>
      </x:c>
      <x:c r="P15" s="56"/>
      <x:c r="Q15" s="56" t="n">
        <x:f>'施設設定'!$B$9</x:f>
        <x:v>111</x:v>
      </x:c>
      <x:c r="R15" s="56" t="str">
        <x:v>既存サンプル</x:v>
      </x:c>
      <x:c r="S15" s="56" t="n">
        <x:v>0</x:v>
      </x:c>
    </x:row>
    <x:row r="16" ht="25" customHeight="1">
      <x:c r="A16" s="64" t="str">
        <x:v>1F-11</x:v>
      </x:c>
      <x:c r="B16" s="64" t="str">
        <x:v>1F</x:v>
      </x:c>
      <x:c r="C16" s="63" t="str">
        <x:v>常勤</x:v>
      </x:c>
      <x:c r="D16" s="63" t="str">
        <x:v>実務者研修</x:v>
      </x:c>
      <x:c r="E16" s="63" t="str">
        <x:v>中堅</x:v>
      </x:c>
      <x:c r="F16" s="63" t="str">
        <x:v>可</x:v>
      </x:c>
      <x:c r="G16" s="63" t="str">
        <x:v>原則不可</x:v>
      </x:c>
      <x:c r="H16" s="63" t="n">
        <x:v>5</x:v>
      </x:c>
      <x:c r="I16" s="63" t="str">
        <x:v>女性</x:v>
      </x:c>
      <x:c r="J16" s="68" t="n">
        <x:v>24</x:v>
      </x:c>
      <x:c r="K16" s="66" t="n">
        <x:v>44652</x:v>
      </x:c>
      <x:c r="L16" s="68" t="n">
        <x:f>YEAR('施設設定'!$B$6)-YEAR(K16)-IF(MONTH('施設設定'!$B$6)*100+DAY('施設設定'!$B$6)&lt;MONTH(K16)*100+DAY(K16),1,0)</x:f>
        <x:v>4</x:v>
      </x:c>
      <x:c r="M16" s="63" t="str">
        <x:v>不可</x:v>
      </x:c>
      <x:c r="N16" s="63" t="str">
        <x:v>早・日・遅・夜</x:v>
      </x:c>
      <x:c r="O16" s="63" t="n">
        <x:v>40</x:v>
      </x:c>
      <x:c r="P16" s="63"/>
      <x:c r="Q16" s="63" t="n">
        <x:f>'施設設定'!$B$9</x:f>
        <x:v>111</x:v>
      </x:c>
      <x:c r="R16" s="63" t="str">
        <x:v>既存サンプル</x:v>
      </x:c>
      <x:c r="S16" s="63" t="n">
        <x:v>0</x:v>
      </x:c>
    </x:row>
    <x:row r="17" ht="25" customHeight="1">
      <x:c r="A17" s="65" t="str">
        <x:v>1F-12</x:v>
      </x:c>
      <x:c r="B17" s="65" t="str">
        <x:v>1F</x:v>
      </x:c>
      <x:c r="C17" s="56" t="str">
        <x:v>常勤</x:v>
      </x:c>
      <x:c r="D17" s="56" t="str">
        <x:v>実務者研修</x:v>
      </x:c>
      <x:c r="E17" s="56" t="str">
        <x:v>中堅</x:v>
      </x:c>
      <x:c r="F17" s="56" t="str">
        <x:v>可</x:v>
      </x:c>
      <x:c r="G17" s="56" t="str">
        <x:v>原則不可</x:v>
      </x:c>
      <x:c r="H17" s="56" t="n">
        <x:v>5</x:v>
      </x:c>
      <x:c r="I17" s="56" t="str">
        <x:v>男性</x:v>
      </x:c>
      <x:c r="J17" s="69" t="n">
        <x:v>31</x:v>
      </x:c>
      <x:c r="K17" s="67" t="n">
        <x:v>45748</x:v>
      </x:c>
      <x:c r="L17" s="69" t="n">
        <x:f>YEAR('施設設定'!$B$6)-YEAR(K17)-IF(MONTH('施設設定'!$B$6)*100+DAY('施設設定'!$B$6)&lt;MONTH(K17)*100+DAY(K17),1,0)</x:f>
        <x:v>1</x:v>
      </x:c>
      <x:c r="M17" s="56" t="str">
        <x:v>不可</x:v>
      </x:c>
      <x:c r="N17" s="56" t="str">
        <x:v>早・日・遅・夜</x:v>
      </x:c>
      <x:c r="O17" s="56" t="n">
        <x:v>40</x:v>
      </x:c>
      <x:c r="P17" s="56"/>
      <x:c r="Q17" s="56" t="n">
        <x:f>'施設設定'!$B$9</x:f>
        <x:v>111</x:v>
      </x:c>
      <x:c r="R17" s="56" t="str">
        <x:v>既存サンプル</x:v>
      </x:c>
      <x:c r="S17" s="56" t="n">
        <x:v>0</x:v>
      </x:c>
    </x:row>
    <x:row r="18" ht="25" customHeight="1">
      <x:c r="A18" s="64" t="str">
        <x:v>1F-13</x:v>
      </x:c>
      <x:c r="B18" s="64" t="str">
        <x:v>1F</x:v>
      </x:c>
      <x:c r="C18" s="63" t="str">
        <x:v>常勤</x:v>
      </x:c>
      <x:c r="D18" s="63" t="str">
        <x:v>実務者研修</x:v>
      </x:c>
      <x:c r="E18" s="63" t="str">
        <x:v>中堅</x:v>
      </x:c>
      <x:c r="F18" s="63" t="str">
        <x:v>可</x:v>
      </x:c>
      <x:c r="G18" s="63" t="str">
        <x:v>原則不可</x:v>
      </x:c>
      <x:c r="H18" s="63" t="n">
        <x:v>5</x:v>
      </x:c>
      <x:c r="I18" s="63" t="str">
        <x:v>女性</x:v>
      </x:c>
      <x:c r="J18" s="68" t="n">
        <x:v>38</x:v>
      </x:c>
      <x:c r="K18" s="66" t="n">
        <x:v>45383</x:v>
      </x:c>
      <x:c r="L18" s="68" t="n">
        <x:f>YEAR('施設設定'!$B$6)-YEAR(K18)-IF(MONTH('施設設定'!$B$6)*100+DAY('施設設定'!$B$6)&lt;MONTH(K18)*100+DAY(K18),1,0)</x:f>
        <x:v>2</x:v>
      </x:c>
      <x:c r="M18" s="63" t="str">
        <x:v>不可</x:v>
      </x:c>
      <x:c r="N18" s="63" t="str">
        <x:v>早・日・遅・夜</x:v>
      </x:c>
      <x:c r="O18" s="63" t="n">
        <x:v>40</x:v>
      </x:c>
      <x:c r="P18" s="63"/>
      <x:c r="Q18" s="63" t="n">
        <x:f>'施設設定'!$B$9</x:f>
        <x:v>111</x:v>
      </x:c>
      <x:c r="R18" s="63" t="str">
        <x:v>既存サンプル</x:v>
      </x:c>
      <x:c r="S18" s="63" t="n">
        <x:v>0</x:v>
      </x:c>
    </x:row>
    <x:row r="19" ht="25" customHeight="1">
      <x:c r="A19" s="65" t="str">
        <x:v>1F-14</x:v>
      </x:c>
      <x:c r="B19" s="65" t="str">
        <x:v>1F</x:v>
      </x:c>
      <x:c r="C19" s="56" t="str">
        <x:v>常勤</x:v>
      </x:c>
      <x:c r="D19" s="56" t="str">
        <x:v>実務者研修</x:v>
      </x:c>
      <x:c r="E19" s="56" t="str">
        <x:v>中堅</x:v>
      </x:c>
      <x:c r="F19" s="56" t="str">
        <x:v>可</x:v>
      </x:c>
      <x:c r="G19" s="56" t="str">
        <x:v>原則不可</x:v>
      </x:c>
      <x:c r="H19" s="56" t="n">
        <x:v>5</x:v>
      </x:c>
      <x:c r="I19" s="56" t="str">
        <x:v>男性</x:v>
      </x:c>
      <x:c r="J19" s="69" t="n">
        <x:v>45</x:v>
      </x:c>
      <x:c r="K19" s="67" t="n">
        <x:v>45017</x:v>
      </x:c>
      <x:c r="L19" s="69" t="n">
        <x:f>YEAR('施設設定'!$B$6)-YEAR(K19)-IF(MONTH('施設設定'!$B$6)*100+DAY('施設設定'!$B$6)&lt;MONTH(K19)*100+DAY(K19),1,0)</x:f>
        <x:v>3</x:v>
      </x:c>
      <x:c r="M19" s="56" t="str">
        <x:v>不可</x:v>
      </x:c>
      <x:c r="N19" s="56" t="str">
        <x:v>早・日・遅・夜</x:v>
      </x:c>
      <x:c r="O19" s="56" t="n">
        <x:v>40</x:v>
      </x:c>
      <x:c r="P19" s="56"/>
      <x:c r="Q19" s="56" t="n">
        <x:f>'施設設定'!$B$9</x:f>
        <x:v>111</x:v>
      </x:c>
      <x:c r="R19" s="56" t="str">
        <x:v>既存サンプル</x:v>
      </x:c>
      <x:c r="S19" s="56" t="n">
        <x:v>0</x:v>
      </x:c>
    </x:row>
    <x:row r="20" ht="25" customHeight="1">
      <x:c r="A20" s="64" t="str">
        <x:v>1F-15</x:v>
      </x:c>
      <x:c r="B20" s="64" t="str">
        <x:v>1F</x:v>
      </x:c>
      <x:c r="C20" s="63" t="str">
        <x:v>常勤</x:v>
      </x:c>
      <x:c r="D20" s="63" t="str">
        <x:v>実務者研修</x:v>
      </x:c>
      <x:c r="E20" s="63" t="str">
        <x:v>新人</x:v>
      </x:c>
      <x:c r="F20" s="63" t="str">
        <x:v>不可</x:v>
      </x:c>
      <x:c r="G20" s="63" t="str">
        <x:v>原則不可</x:v>
      </x:c>
      <x:c r="H20" s="63" t="n">
        <x:v>0</x:v>
      </x:c>
      <x:c r="I20" s="63" t="str">
        <x:v>女性</x:v>
      </x:c>
      <x:c r="J20" s="68" t="n">
        <x:v>52</x:v>
      </x:c>
      <x:c r="K20" s="66" t="n">
        <x:v>44652</x:v>
      </x:c>
      <x:c r="L20" s="68" t="n">
        <x:f>YEAR('施設設定'!$B$6)-YEAR(K20)-IF(MONTH('施設設定'!$B$6)*100+DAY('施設設定'!$B$6)&lt;MONTH(K20)*100+DAY(K20),1,0)</x:f>
        <x:v>4</x:v>
      </x:c>
      <x:c r="M20" s="63" t="str">
        <x:v>不可</x:v>
      </x:c>
      <x:c r="N20" s="63" t="str">
        <x:v>早・日・遅</x:v>
      </x:c>
      <x:c r="O20" s="63" t="n">
        <x:v>40</x:v>
      </x:c>
      <x:c r="P20" s="63"/>
      <x:c r="Q20" s="63" t="n">
        <x:f>'施設設定'!$B$9</x:f>
        <x:v>111</x:v>
      </x:c>
      <x:c r="R20" s="63" t="str">
        <x:v>既存サンプル</x:v>
      </x:c>
      <x:c r="S20" s="63" t="n">
        <x:v>0</x:v>
      </x:c>
    </x:row>
    <x:row r="21" ht="25" customHeight="1">
      <x:c r="A21" s="65" t="str">
        <x:v>1F-16</x:v>
      </x:c>
      <x:c r="B21" s="65" t="str">
        <x:v>1F</x:v>
      </x:c>
      <x:c r="C21" s="56" t="str">
        <x:v>常勤</x:v>
      </x:c>
      <x:c r="D21" s="56" t="str">
        <x:v>初任者研修</x:v>
      </x:c>
      <x:c r="E21" s="56" t="str">
        <x:v>新人</x:v>
      </x:c>
      <x:c r="F21" s="56" t="str">
        <x:v>不可</x:v>
      </x:c>
      <x:c r="G21" s="56" t="str">
        <x:v>原則不可</x:v>
      </x:c>
      <x:c r="H21" s="56" t="n">
        <x:v>0</x:v>
      </x:c>
      <x:c r="I21" s="56" t="str">
        <x:v>男性</x:v>
      </x:c>
      <x:c r="J21" s="69" t="n">
        <x:v>59</x:v>
      </x:c>
      <x:c r="K21" s="67" t="n">
        <x:v>44287</x:v>
      </x:c>
      <x:c r="L21" s="69" t="n">
        <x:f>YEAR('施設設定'!$B$6)-YEAR(K21)-IF(MONTH('施設設定'!$B$6)*100+DAY('施設設定'!$B$6)&lt;MONTH(K21)*100+DAY(K21),1,0)</x:f>
        <x:v>5</x:v>
      </x:c>
      <x:c r="M21" s="56" t="str">
        <x:v>不可</x:v>
      </x:c>
      <x:c r="N21" s="56" t="str">
        <x:v>早・日・遅</x:v>
      </x:c>
      <x:c r="O21" s="56" t="n">
        <x:v>40</x:v>
      </x:c>
      <x:c r="P21" s="56"/>
      <x:c r="Q21" s="56" t="n">
        <x:f>'施設設定'!$B$9</x:f>
        <x:v>111</x:v>
      </x:c>
      <x:c r="R21" s="56" t="str">
        <x:v>既存サンプル</x:v>
      </x:c>
      <x:c r="S21" s="56" t="n">
        <x:v>0</x:v>
      </x:c>
    </x:row>
    <x:row r="22" ht="25" customHeight="1">
      <x:c r="A22" s="64" t="str">
        <x:v>1F-17</x:v>
      </x:c>
      <x:c r="B22" s="64" t="str">
        <x:v>1F</x:v>
      </x:c>
      <x:c r="C22" s="63" t="str">
        <x:v>非常勤</x:v>
      </x:c>
      <x:c r="D22" s="63" t="str">
        <x:v>初任者研修</x:v>
      </x:c>
      <x:c r="E22" s="63" t="str">
        <x:v>新人</x:v>
      </x:c>
      <x:c r="F22" s="63" t="str">
        <x:v>不可</x:v>
      </x:c>
      <x:c r="G22" s="63" t="str">
        <x:v>原則不可</x:v>
      </x:c>
      <x:c r="H22" s="63" t="n">
        <x:v>0</x:v>
      </x:c>
      <x:c r="I22" s="63" t="str">
        <x:v>女性</x:v>
      </x:c>
      <x:c r="J22" s="68" t="n">
        <x:v>26</x:v>
      </x:c>
      <x:c r="K22" s="66" t="n">
        <x:v>43922</x:v>
      </x:c>
      <x:c r="L22" s="68" t="n">
        <x:f>YEAR('施設設定'!$B$6)-YEAR(K22)-IF(MONTH('施設設定'!$B$6)*100+DAY('施設設定'!$B$6)&lt;MONTH(K22)*100+DAY(K22),1,0)</x:f>
        <x:v>6</x:v>
      </x:c>
      <x:c r="M22" s="63" t="str">
        <x:v>不可</x:v>
      </x:c>
      <x:c r="N22" s="63" t="str">
        <x:v>午</x:v>
      </x:c>
      <x:c r="O22" s="63" t="n">
        <x:v>12</x:v>
      </x:c>
      <x:c r="P22" s="63" t="n">
        <x:v>3</x:v>
      </x:c>
      <x:c r="Q22" s="63"/>
      <x:c r="R22" s="63" t="str">
        <x:v>既存サンプル</x:v>
      </x:c>
      <x:c r="S22" s="63" t="n">
        <x:v>0</x:v>
      </x:c>
    </x:row>
    <x:row r="23" ht="25" customHeight="1">
      <x:c r="A23" s="65" t="str">
        <x:v>1F-18</x:v>
      </x:c>
      <x:c r="B23" s="65" t="str">
        <x:v>1F</x:v>
      </x:c>
      <x:c r="C23" s="56" t="str">
        <x:v>非常勤</x:v>
      </x:c>
      <x:c r="D23" s="56" t="str">
        <x:v>初任者研修</x:v>
      </x:c>
      <x:c r="E23" s="56" t="str">
        <x:v>新人</x:v>
      </x:c>
      <x:c r="F23" s="56" t="str">
        <x:v>不可</x:v>
      </x:c>
      <x:c r="G23" s="56" t="str">
        <x:v>原則不可</x:v>
      </x:c>
      <x:c r="H23" s="56" t="n">
        <x:v>0</x:v>
      </x:c>
      <x:c r="I23" s="56" t="str">
        <x:v>男性</x:v>
      </x:c>
      <x:c r="J23" s="69" t="n">
        <x:v>33</x:v>
      </x:c>
      <x:c r="K23" s="67" t="n">
        <x:v>43556</x:v>
      </x:c>
      <x:c r="L23" s="69" t="n">
        <x:f>YEAR('施設設定'!$B$6)-YEAR(K23)-IF(MONTH('施設設定'!$B$6)*100+DAY('施設設定'!$B$6)&lt;MONTH(K23)*100+DAY(K23),1,0)</x:f>
        <x:v>7</x:v>
      </x:c>
      <x:c r="M23" s="56" t="str">
        <x:v>不可</x:v>
      </x:c>
      <x:c r="N23" s="56" t="str">
        <x:v>後</x:v>
      </x:c>
      <x:c r="O23" s="56" t="n">
        <x:v>12</x:v>
      </x:c>
      <x:c r="P23" s="56" t="n">
        <x:v>3</x:v>
      </x:c>
      <x:c r="Q23" s="56"/>
      <x:c r="R23" s="56" t="str">
        <x:v>既存サンプル</x:v>
      </x:c>
      <x:c r="S23" s="56" t="n">
        <x:v>0</x:v>
      </x:c>
    </x:row>
    <x:row r="24" ht="25" customHeight="1">
      <x:c r="A24" s="64" t="str">
        <x:v>1F-19</x:v>
      </x:c>
      <x:c r="B24" s="64" t="str">
        <x:v>1F</x:v>
      </x:c>
      <x:c r="C24" s="63" t="str">
        <x:v>非常勤</x:v>
      </x:c>
      <x:c r="D24" s="63" t="str">
        <x:v>初任者研修</x:v>
      </x:c>
      <x:c r="E24" s="63" t="str">
        <x:v>新人</x:v>
      </x:c>
      <x:c r="F24" s="63" t="str">
        <x:v>不可</x:v>
      </x:c>
      <x:c r="G24" s="63" t="str">
        <x:v>原則不可</x:v>
      </x:c>
      <x:c r="H24" s="63" t="n">
        <x:v>0</x:v>
      </x:c>
      <x:c r="I24" s="63" t="str">
        <x:v>女性</x:v>
      </x:c>
      <x:c r="J24" s="68" t="n">
        <x:v>40</x:v>
      </x:c>
      <x:c r="K24" s="66" t="n">
        <x:v>43191</x:v>
      </x:c>
      <x:c r="L24" s="68" t="n">
        <x:f>YEAR('施設設定'!$B$6)-YEAR(K24)-IF(MONTH('施設設定'!$B$6)*100+DAY('施設設定'!$B$6)&lt;MONTH(K24)*100+DAY(K24),1,0)</x:f>
        <x:v>8</x:v>
      </x:c>
      <x:c r="M24" s="63" t="str">
        <x:v>不可</x:v>
      </x:c>
      <x:c r="N24" s="63" t="str">
        <x:v>午</x:v>
      </x:c>
      <x:c r="O24" s="63" t="n">
        <x:v>12</x:v>
      </x:c>
      <x:c r="P24" s="63" t="n">
        <x:v>3</x:v>
      </x:c>
      <x:c r="Q24" s="63"/>
      <x:c r="R24" s="63" t="str">
        <x:v>既存サンプル</x:v>
      </x:c>
      <x:c r="S24" s="63" t="n">
        <x:v>0</x:v>
      </x:c>
    </x:row>
    <x:row r="25" ht="25" customHeight="1">
      <x:c r="A25" s="65" t="str">
        <x:v>1F-20</x:v>
      </x:c>
      <x:c r="B25" s="65" t="str">
        <x:v>1F</x:v>
      </x:c>
      <x:c r="C25" s="56" t="str">
        <x:v>非常勤</x:v>
      </x:c>
      <x:c r="D25" s="56" t="str">
        <x:v>初任者研修</x:v>
      </x:c>
      <x:c r="E25" s="56" t="str">
        <x:v>新人</x:v>
      </x:c>
      <x:c r="F25" s="56" t="str">
        <x:v>不可</x:v>
      </x:c>
      <x:c r="G25" s="56" t="str">
        <x:v>原則不可</x:v>
      </x:c>
      <x:c r="H25" s="56" t="n">
        <x:v>0</x:v>
      </x:c>
      <x:c r="I25" s="56" t="str">
        <x:v>男性</x:v>
      </x:c>
      <x:c r="J25" s="69" t="n">
        <x:v>47</x:v>
      </x:c>
      <x:c r="K25" s="67" t="n">
        <x:v>42826</x:v>
      </x:c>
      <x:c r="L25" s="69" t="n">
        <x:f>YEAR('施設設定'!$B$6)-YEAR(K25)-IF(MONTH('施設設定'!$B$6)*100+DAY('施設設定'!$B$6)&lt;MONTH(K25)*100+DAY(K25),1,0)</x:f>
        <x:v>9</x:v>
      </x:c>
      <x:c r="M25" s="56" t="str">
        <x:v>不可</x:v>
      </x:c>
      <x:c r="N25" s="56" t="str">
        <x:v>後</x:v>
      </x:c>
      <x:c r="O25" s="56" t="n">
        <x:v>12</x:v>
      </x:c>
      <x:c r="P25" s="56" t="n">
        <x:v>3</x:v>
      </x:c>
      <x:c r="Q25" s="56"/>
      <x:c r="R25" s="56" t="str">
        <x:v>既存サンプル</x:v>
      </x:c>
      <x:c r="S25" s="56" t="n">
        <x:v>0</x:v>
      </x:c>
    </x:row>
    <x:row r="26" ht="25" customHeight="1">
      <x:c r="A26" s="64" t="str">
        <x:v>1F-21</x:v>
      </x:c>
      <x:c r="B26" s="64" t="str">
        <x:v>1F</x:v>
      </x:c>
      <x:c r="C26" s="63" t="str">
        <x:v>非常勤</x:v>
      </x:c>
      <x:c r="D26" s="63" t="str">
        <x:v>初任者研修</x:v>
      </x:c>
      <x:c r="E26" s="63" t="str">
        <x:v>新人</x:v>
      </x:c>
      <x:c r="F26" s="63" t="str">
        <x:v>不可</x:v>
      </x:c>
      <x:c r="G26" s="63" t="str">
        <x:v>原則不可</x:v>
      </x:c>
      <x:c r="H26" s="63" t="n">
        <x:v>0</x:v>
      </x:c>
      <x:c r="I26" s="63" t="str">
        <x:v>女性</x:v>
      </x:c>
      <x:c r="J26" s="68" t="n">
        <x:v>54</x:v>
      </x:c>
      <x:c r="K26" s="66" t="n">
        <x:v>42461</x:v>
      </x:c>
      <x:c r="L26" s="68" t="n">
        <x:f>YEAR('施設設定'!$B$6)-YEAR(K26)-IF(MONTH('施設設定'!$B$6)*100+DAY('施設設定'!$B$6)&lt;MONTH(K26)*100+DAY(K26),1,0)</x:f>
        <x:v>10</x:v>
      </x:c>
      <x:c r="M26" s="63" t="str">
        <x:v>不可</x:v>
      </x:c>
      <x:c r="N26" s="63" t="str">
        <x:v>午</x:v>
      </x:c>
      <x:c r="O26" s="63" t="n">
        <x:v>12</x:v>
      </x:c>
      <x:c r="P26" s="63" t="n">
        <x:v>3</x:v>
      </x:c>
      <x:c r="Q26" s="63"/>
      <x:c r="R26" s="63" t="str">
        <x:v>追加候補（仮）</x:v>
      </x:c>
      <x:c r="S26" s="63" t="n">
        <x:v>0</x:v>
      </x:c>
    </x:row>
    <x:row r="27" ht="25" customHeight="1">
      <x:c r="A27" s="65" t="str">
        <x:v>1F-22</x:v>
      </x:c>
      <x:c r="B27" s="65" t="str">
        <x:v>1F</x:v>
      </x:c>
      <x:c r="C27" s="56" t="str">
        <x:v>非常勤</x:v>
      </x:c>
      <x:c r="D27" s="56" t="str">
        <x:v>初任者研修</x:v>
      </x:c>
      <x:c r="E27" s="56" t="str">
        <x:v>新人</x:v>
      </x:c>
      <x:c r="F27" s="56" t="str">
        <x:v>不可</x:v>
      </x:c>
      <x:c r="G27" s="56" t="str">
        <x:v>原則不可</x:v>
      </x:c>
      <x:c r="H27" s="56" t="n">
        <x:v>0</x:v>
      </x:c>
      <x:c r="I27" s="56" t="str">
        <x:v>男性</x:v>
      </x:c>
      <x:c r="J27" s="69" t="n">
        <x:v>61</x:v>
      </x:c>
      <x:c r="K27" s="67" t="n">
        <x:v>42095</x:v>
      </x:c>
      <x:c r="L27" s="69" t="n">
        <x:f>YEAR('施設設定'!$B$6)-YEAR(K27)-IF(MONTH('施設設定'!$B$6)*100+DAY('施設設定'!$B$6)&lt;MONTH(K27)*100+DAY(K27),1,0)</x:f>
        <x:v>11</x:v>
      </x:c>
      <x:c r="M27" s="56" t="str">
        <x:v>不可</x:v>
      </x:c>
      <x:c r="N27" s="56" t="str">
        <x:v>後</x:v>
      </x:c>
      <x:c r="O27" s="56" t="n">
        <x:v>12</x:v>
      </x:c>
      <x:c r="P27" s="56" t="n">
        <x:v>3</x:v>
      </x:c>
      <x:c r="Q27" s="56"/>
      <x:c r="R27" s="56" t="str">
        <x:v>追加候補（仮）</x:v>
      </x:c>
      <x:c r="S27" s="56" t="n">
        <x:v>0</x:v>
      </x:c>
    </x:row>
    <x:row r="28" ht="25" customHeight="1">
      <x:c r="A28" s="64" t="str">
        <x:v>1F-23</x:v>
      </x:c>
      <x:c r="B28" s="64" t="str">
        <x:v>1F</x:v>
      </x:c>
      <x:c r="C28" s="63" t="str">
        <x:v>非常勤</x:v>
      </x:c>
      <x:c r="D28" s="63" t="str">
        <x:v>介護福祉士</x:v>
      </x:c>
      <x:c r="E28" s="63" t="str">
        <x:v>中堅</x:v>
      </x:c>
      <x:c r="F28" s="63" t="str">
        <x:v>不可</x:v>
      </x:c>
      <x:c r="G28" s="63" t="str">
        <x:v>可</x:v>
      </x:c>
      <x:c r="H28" s="63" t="n">
        <x:v>0</x:v>
      </x:c>
      <x:c r="I28" s="63" t="str">
        <x:v>女性</x:v>
      </x:c>
      <x:c r="J28" s="68" t="n">
        <x:v>28</x:v>
      </x:c>
      <x:c r="K28" s="66" t="n">
        <x:v>43191</x:v>
      </x:c>
      <x:c r="L28" s="68" t="n">
        <x:f>YEAR('施設設定'!$B$6)-YEAR(K28)-IF(MONTH('施設設定'!$B$6)*100+DAY('施設設定'!$B$6)&lt;MONTH(K28)*100+DAY(K28),1,0)</x:f>
        <x:v>8</x:v>
      </x:c>
      <x:c r="M28" s="63" t="str">
        <x:v>不可</x:v>
      </x:c>
      <x:c r="N28" s="63" t="str">
        <x:v>短A</x:v>
      </x:c>
      <x:c r="O28" s="63" t="n">
        <x:v>9</x:v>
      </x:c>
      <x:c r="P28" s="63" t="n">
        <x:v>3</x:v>
      </x:c>
      <x:c r="Q28" s="63"/>
      <x:c r="R28" s="63" t="str">
        <x:v>追加候補（仮）</x:v>
      </x:c>
      <x:c r="S28" s="63" t="n">
        <x:v>13</x:v>
      </x:c>
    </x:row>
    <x:row r="29" ht="25" customHeight="1">
      <x:c r="A29" s="65" t="str">
        <x:v>1F-24</x:v>
      </x:c>
      <x:c r="B29" s="65" t="str">
        <x:v>1F</x:v>
      </x:c>
      <x:c r="C29" s="56" t="str">
        <x:v>非常勤</x:v>
      </x:c>
      <x:c r="D29" s="56" t="str">
        <x:v>介護福祉士</x:v>
      </x:c>
      <x:c r="E29" s="56" t="str">
        <x:v>中堅</x:v>
      </x:c>
      <x:c r="F29" s="56" t="str">
        <x:v>不可</x:v>
      </x:c>
      <x:c r="G29" s="56" t="str">
        <x:v>可</x:v>
      </x:c>
      <x:c r="H29" s="56" t="n">
        <x:v>0</x:v>
      </x:c>
      <x:c r="I29" s="56" t="str">
        <x:v>男性</x:v>
      </x:c>
      <x:c r="J29" s="69" t="n">
        <x:v>35</x:v>
      </x:c>
      <x:c r="K29" s="67" t="n">
        <x:v>45748</x:v>
      </x:c>
      <x:c r="L29" s="69" t="n">
        <x:f>YEAR('施設設定'!$B$6)-YEAR(K29)-IF(MONTH('施設設定'!$B$6)*100+DAY('施設設定'!$B$6)&lt;MONTH(K29)*100+DAY(K29),1,0)</x:f>
        <x:v>1</x:v>
      </x:c>
      <x:c r="M29" s="56" t="str">
        <x:v>不可</x:v>
      </x:c>
      <x:c r="N29" s="56" t="str">
        <x:v>短B</x:v>
      </x:c>
      <x:c r="O29" s="56" t="n">
        <x:v>9</x:v>
      </x:c>
      <x:c r="P29" s="56" t="n">
        <x:v>3</x:v>
      </x:c>
      <x:c r="Q29" s="56"/>
      <x:c r="R29" s="56" t="str">
        <x:v>追加候補（仮）</x:v>
      </x:c>
      <x:c r="S29" s="56" t="n">
        <x:v>13</x:v>
      </x:c>
    </x:row>
    <x:row r="30" ht="25" customHeight="1">
      <x:c r="A30" s="64" t="str">
        <x:v>2F-01</x:v>
      </x:c>
      <x:c r="B30" s="64" t="str">
        <x:v>2F</x:v>
      </x:c>
      <x:c r="C30" s="63" t="str">
        <x:v>常勤</x:v>
      </x:c>
      <x:c r="D30" s="63" t="str">
        <x:v>介護福祉士</x:v>
      </x:c>
      <x:c r="E30" s="63" t="str">
        <x:v>ベテラン</x:v>
      </x:c>
      <x:c r="F30" s="63" t="str">
        <x:v>可</x:v>
      </x:c>
      <x:c r="G30" s="63" t="str">
        <x:v>可</x:v>
      </x:c>
      <x:c r="H30" s="63" t="n">
        <x:v>5</x:v>
      </x:c>
      <x:c r="I30" s="63" t="str">
        <x:v>女性</x:v>
      </x:c>
      <x:c r="J30" s="68" t="n">
        <x:v>37</x:v>
      </x:c>
      <x:c r="K30" s="66" t="n">
        <x:v>45383</x:v>
      </x:c>
      <x:c r="L30" s="68" t="n">
        <x:f>YEAR('施設設定'!$B$6)-YEAR(K30)-IF(MONTH('施設設定'!$B$6)*100+DAY('施設設定'!$B$6)&lt;MONTH(K30)*100+DAY(K30),1,0)</x:f>
        <x:v>2</x:v>
      </x:c>
      <x:c r="M30" s="63" t="str">
        <x:v>可</x:v>
      </x:c>
      <x:c r="N30" s="63" t="str">
        <x:v>早・日・遅・夜</x:v>
      </x:c>
      <x:c r="O30" s="63" t="n">
        <x:v>40</x:v>
      </x:c>
      <x:c r="P30" s="63"/>
      <x:c r="Q30" s="63" t="n">
        <x:f>'施設設定'!$B$9</x:f>
        <x:v>111</x:v>
      </x:c>
      <x:c r="R30" s="63" t="str">
        <x:v>既存サンプル</x:v>
      </x:c>
      <x:c r="S30" s="63" t="n">
        <x:v>0</x:v>
      </x:c>
    </x:row>
    <x:row r="31" ht="25" customHeight="1">
      <x:c r="A31" s="65" t="str">
        <x:v>2F-02</x:v>
      </x:c>
      <x:c r="B31" s="65" t="str">
        <x:v>2F</x:v>
      </x:c>
      <x:c r="C31" s="56" t="str">
        <x:v>常勤</x:v>
      </x:c>
      <x:c r="D31" s="56" t="str">
        <x:v>介護福祉士</x:v>
      </x:c>
      <x:c r="E31" s="56" t="str">
        <x:v>ベテラン</x:v>
      </x:c>
      <x:c r="F31" s="56" t="str">
        <x:v>可</x:v>
      </x:c>
      <x:c r="G31" s="56" t="str">
        <x:v>可</x:v>
      </x:c>
      <x:c r="H31" s="56" t="n">
        <x:v>5</x:v>
      </x:c>
      <x:c r="I31" s="56" t="str">
        <x:v>男性</x:v>
      </x:c>
      <x:c r="J31" s="69" t="n">
        <x:v>44</x:v>
      </x:c>
      <x:c r="K31" s="67" t="n">
        <x:v>45017</x:v>
      </x:c>
      <x:c r="L31" s="69" t="n">
        <x:f>YEAR('施設設定'!$B$6)-YEAR(K31)-IF(MONTH('施設設定'!$B$6)*100+DAY('施設設定'!$B$6)&lt;MONTH(K31)*100+DAY(K31),1,0)</x:f>
        <x:v>3</x:v>
      </x:c>
      <x:c r="M31" s="56" t="str">
        <x:v>可</x:v>
      </x:c>
      <x:c r="N31" s="56" t="str">
        <x:v>早・日・遅・夜</x:v>
      </x:c>
      <x:c r="O31" s="56" t="n">
        <x:v>40</x:v>
      </x:c>
      <x:c r="P31" s="56"/>
      <x:c r="Q31" s="56" t="n">
        <x:f>'施設設定'!$B$9</x:f>
        <x:v>111</x:v>
      </x:c>
      <x:c r="R31" s="56" t="str">
        <x:v>既存サンプル</x:v>
      </x:c>
      <x:c r="S31" s="56" t="n">
        <x:v>0</x:v>
      </x:c>
    </x:row>
    <x:row r="32" ht="25" customHeight="1">
      <x:c r="A32" s="64" t="str">
        <x:v>2F-03</x:v>
      </x:c>
      <x:c r="B32" s="64" t="str">
        <x:v>2F</x:v>
      </x:c>
      <x:c r="C32" s="63" t="str">
        <x:v>常勤</x:v>
      </x:c>
      <x:c r="D32" s="63" t="str">
        <x:v>介護福祉士</x:v>
      </x:c>
      <x:c r="E32" s="63" t="str">
        <x:v>ベテラン</x:v>
      </x:c>
      <x:c r="F32" s="63" t="str">
        <x:v>可</x:v>
      </x:c>
      <x:c r="G32" s="63" t="str">
        <x:v>可</x:v>
      </x:c>
      <x:c r="H32" s="63" t="n">
        <x:v>5</x:v>
      </x:c>
      <x:c r="I32" s="63" t="str">
        <x:v>女性</x:v>
      </x:c>
      <x:c r="J32" s="68" t="n">
        <x:v>51</x:v>
      </x:c>
      <x:c r="K32" s="66" t="n">
        <x:v>44652</x:v>
      </x:c>
      <x:c r="L32" s="68" t="n">
        <x:f>YEAR('施設設定'!$B$6)-YEAR(K32)-IF(MONTH('施設設定'!$B$6)*100+DAY('施設設定'!$B$6)&lt;MONTH(K32)*100+DAY(K32),1,0)</x:f>
        <x:v>4</x:v>
      </x:c>
      <x:c r="M32" s="63" t="str">
        <x:v>可</x:v>
      </x:c>
      <x:c r="N32" s="63" t="str">
        <x:v>早・日・遅・夜</x:v>
      </x:c>
      <x:c r="O32" s="63" t="n">
        <x:v>40</x:v>
      </x:c>
      <x:c r="P32" s="63"/>
      <x:c r="Q32" s="63" t="n">
        <x:f>'施設設定'!$B$9</x:f>
        <x:v>111</x:v>
      </x:c>
      <x:c r="R32" s="63" t="str">
        <x:v>既存サンプル</x:v>
      </x:c>
      <x:c r="S32" s="63" t="n">
        <x:v>0</x:v>
      </x:c>
    </x:row>
    <x:row r="33" ht="25" customHeight="1">
      <x:c r="A33" s="65" t="str">
        <x:v>2F-04</x:v>
      </x:c>
      <x:c r="B33" s="65" t="str">
        <x:v>2F</x:v>
      </x:c>
      <x:c r="C33" s="56" t="str">
        <x:v>常勤</x:v>
      </x:c>
      <x:c r="D33" s="56" t="str">
        <x:v>介護福祉士</x:v>
      </x:c>
      <x:c r="E33" s="56" t="str">
        <x:v>ベテラン</x:v>
      </x:c>
      <x:c r="F33" s="56" t="str">
        <x:v>可</x:v>
      </x:c>
      <x:c r="G33" s="56" t="str">
        <x:v>可</x:v>
      </x:c>
      <x:c r="H33" s="56" t="n">
        <x:v>5</x:v>
      </x:c>
      <x:c r="I33" s="56" t="str">
        <x:v>男性</x:v>
      </x:c>
      <x:c r="J33" s="69" t="n">
        <x:v>58</x:v>
      </x:c>
      <x:c r="K33" s="67" t="n">
        <x:v>44287</x:v>
      </x:c>
      <x:c r="L33" s="69" t="n">
        <x:f>YEAR('施設設定'!$B$6)-YEAR(K33)-IF(MONTH('施設設定'!$B$6)*100+DAY('施設設定'!$B$6)&lt;MONTH(K33)*100+DAY(K33),1,0)</x:f>
        <x:v>5</x:v>
      </x:c>
      <x:c r="M33" s="56" t="str">
        <x:v>可</x:v>
      </x:c>
      <x:c r="N33" s="56" t="str">
        <x:v>早・日・遅・夜</x:v>
      </x:c>
      <x:c r="O33" s="56" t="n">
        <x:v>40</x:v>
      </x:c>
      <x:c r="P33" s="56"/>
      <x:c r="Q33" s="56" t="n">
        <x:f>'施設設定'!$B$9</x:f>
        <x:v>111</x:v>
      </x:c>
      <x:c r="R33" s="56" t="str">
        <x:v>既存サンプル</x:v>
      </x:c>
      <x:c r="S33" s="56" t="n">
        <x:v>0</x:v>
      </x:c>
    </x:row>
    <x:row r="34" ht="25" customHeight="1">
      <x:c r="A34" s="64" t="str">
        <x:v>2F-05</x:v>
      </x:c>
      <x:c r="B34" s="64" t="str">
        <x:v>2F</x:v>
      </x:c>
      <x:c r="C34" s="63" t="str">
        <x:v>常勤</x:v>
      </x:c>
      <x:c r="D34" s="63" t="str">
        <x:v>介護福祉士</x:v>
      </x:c>
      <x:c r="E34" s="63" t="str">
        <x:v>ベテラン</x:v>
      </x:c>
      <x:c r="F34" s="63" t="str">
        <x:v>可</x:v>
      </x:c>
      <x:c r="G34" s="63" t="str">
        <x:v>原則不可</x:v>
      </x:c>
      <x:c r="H34" s="63" t="n">
        <x:v>5</x:v>
      </x:c>
      <x:c r="I34" s="63" t="str">
        <x:v>女性</x:v>
      </x:c>
      <x:c r="J34" s="68" t="n">
        <x:v>25</x:v>
      </x:c>
      <x:c r="K34" s="66" t="n">
        <x:v>44287</x:v>
      </x:c>
      <x:c r="L34" s="68" t="n">
        <x:f>YEAR('施設設定'!$B$6)-YEAR(K34)-IF(MONTH('施設設定'!$B$6)*100+DAY('施設設定'!$B$6)&lt;MONTH(K34)*100+DAY(K34),1,0)</x:f>
        <x:v>5</x:v>
      </x:c>
      <x:c r="M34" s="63" t="str">
        <x:v>可</x:v>
      </x:c>
      <x:c r="N34" s="63" t="str">
        <x:v>早・日・遅・夜</x:v>
      </x:c>
      <x:c r="O34" s="63" t="n">
        <x:v>40</x:v>
      </x:c>
      <x:c r="P34" s="63"/>
      <x:c r="Q34" s="63" t="n">
        <x:f>'施設設定'!$B$9</x:f>
        <x:v>111</x:v>
      </x:c>
      <x:c r="R34" s="63" t="str">
        <x:v>既存サンプル</x:v>
      </x:c>
      <x:c r="S34" s="63" t="n">
        <x:v>0</x:v>
      </x:c>
    </x:row>
    <x:row r="35" ht="25" customHeight="1">
      <x:c r="A35" s="65" t="str">
        <x:v>2F-06</x:v>
      </x:c>
      <x:c r="B35" s="65" t="str">
        <x:v>2F</x:v>
      </x:c>
      <x:c r="C35" s="56" t="str">
        <x:v>常勤</x:v>
      </x:c>
      <x:c r="D35" s="56" t="str">
        <x:v>介護福祉士</x:v>
      </x:c>
      <x:c r="E35" s="56" t="str">
        <x:v>ベテラン</x:v>
      </x:c>
      <x:c r="F35" s="56" t="str">
        <x:v>可</x:v>
      </x:c>
      <x:c r="G35" s="56" t="str">
        <x:v>原則不可</x:v>
      </x:c>
      <x:c r="H35" s="56" t="n">
        <x:v>5</x:v>
      </x:c>
      <x:c r="I35" s="56" t="str">
        <x:v>男性</x:v>
      </x:c>
      <x:c r="J35" s="69" t="n">
        <x:v>32</x:v>
      </x:c>
      <x:c r="K35" s="67" t="n">
        <x:v>43556</x:v>
      </x:c>
      <x:c r="L35" s="69" t="n">
        <x:f>YEAR('施設設定'!$B$6)-YEAR(K35)-IF(MONTH('施設設定'!$B$6)*100+DAY('施設設定'!$B$6)&lt;MONTH(K35)*100+DAY(K35),1,0)</x:f>
        <x:v>7</x:v>
      </x:c>
      <x:c r="M35" s="56" t="str">
        <x:v>可</x:v>
      </x:c>
      <x:c r="N35" s="56" t="str">
        <x:v>早・日・遅・夜</x:v>
      </x:c>
      <x:c r="O35" s="56" t="n">
        <x:v>40</x:v>
      </x:c>
      <x:c r="P35" s="56"/>
      <x:c r="Q35" s="56" t="n">
        <x:f>'施設設定'!$B$9</x:f>
        <x:v>111</x:v>
      </x:c>
      <x:c r="R35" s="56" t="str">
        <x:v>既存サンプル</x:v>
      </x:c>
      <x:c r="S35" s="56" t="n">
        <x:v>0</x:v>
      </x:c>
    </x:row>
    <x:row r="36" ht="25" customHeight="1">
      <x:c r="A36" s="64" t="str">
        <x:v>2F-07</x:v>
      </x:c>
      <x:c r="B36" s="64" t="str">
        <x:v>2F</x:v>
      </x:c>
      <x:c r="C36" s="63" t="str">
        <x:v>常勤</x:v>
      </x:c>
      <x:c r="D36" s="63" t="str">
        <x:v>介護福祉士</x:v>
      </x:c>
      <x:c r="E36" s="63" t="str">
        <x:v>中堅</x:v>
      </x:c>
      <x:c r="F36" s="63" t="str">
        <x:v>可</x:v>
      </x:c>
      <x:c r="G36" s="63" t="str">
        <x:v>原則不可</x:v>
      </x:c>
      <x:c r="H36" s="63" t="n">
        <x:v>5</x:v>
      </x:c>
      <x:c r="I36" s="63" t="str">
        <x:v>女性</x:v>
      </x:c>
      <x:c r="J36" s="68" t="n">
        <x:v>39</x:v>
      </x:c>
      <x:c r="K36" s="66" t="n">
        <x:v>43191</x:v>
      </x:c>
      <x:c r="L36" s="68" t="n">
        <x:f>YEAR('施設設定'!$B$6)-YEAR(K36)-IF(MONTH('施設設定'!$B$6)*100+DAY('施設設定'!$B$6)&lt;MONTH(K36)*100+DAY(K36),1,0)</x:f>
        <x:v>8</x:v>
      </x:c>
      <x:c r="M36" s="63" t="str">
        <x:v>不可</x:v>
      </x:c>
      <x:c r="N36" s="63" t="str">
        <x:v>早・日・遅・夜</x:v>
      </x:c>
      <x:c r="O36" s="63" t="n">
        <x:v>40</x:v>
      </x:c>
      <x:c r="P36" s="63"/>
      <x:c r="Q36" s="63" t="n">
        <x:f>'施設設定'!$B$9</x:f>
        <x:v>111</x:v>
      </x:c>
      <x:c r="R36" s="63" t="str">
        <x:v>既存サンプル</x:v>
      </x:c>
      <x:c r="S36" s="63" t="n">
        <x:v>0</x:v>
      </x:c>
    </x:row>
    <x:row r="37" ht="25" customHeight="1">
      <x:c r="A37" s="65" t="str">
        <x:v>2F-08</x:v>
      </x:c>
      <x:c r="B37" s="65" t="str">
        <x:v>2F</x:v>
      </x:c>
      <x:c r="C37" s="56" t="str">
        <x:v>常勤</x:v>
      </x:c>
      <x:c r="D37" s="56" t="str">
        <x:v>介護福祉士</x:v>
      </x:c>
      <x:c r="E37" s="56" t="str">
        <x:v>中堅</x:v>
      </x:c>
      <x:c r="F37" s="56" t="str">
        <x:v>可</x:v>
      </x:c>
      <x:c r="G37" s="56" t="str">
        <x:v>原則不可</x:v>
      </x:c>
      <x:c r="H37" s="56" t="n">
        <x:v>5</x:v>
      </x:c>
      <x:c r="I37" s="56" t="str">
        <x:v>男性</x:v>
      </x:c>
      <x:c r="J37" s="69" t="n">
        <x:v>46</x:v>
      </x:c>
      <x:c r="K37" s="67" t="n">
        <x:v>42826</x:v>
      </x:c>
      <x:c r="L37" s="69" t="n">
        <x:f>YEAR('施設設定'!$B$6)-YEAR(K37)-IF(MONTH('施設設定'!$B$6)*100+DAY('施設設定'!$B$6)&lt;MONTH(K37)*100+DAY(K37),1,0)</x:f>
        <x:v>9</x:v>
      </x:c>
      <x:c r="M37" s="56" t="str">
        <x:v>不可</x:v>
      </x:c>
      <x:c r="N37" s="56" t="str">
        <x:v>早・日・遅・夜</x:v>
      </x:c>
      <x:c r="O37" s="56" t="n">
        <x:v>40</x:v>
      </x:c>
      <x:c r="P37" s="56"/>
      <x:c r="Q37" s="56" t="n">
        <x:f>'施設設定'!$B$9</x:f>
        <x:v>111</x:v>
      </x:c>
      <x:c r="R37" s="56" t="str">
        <x:v>既存サンプル</x:v>
      </x:c>
      <x:c r="S37" s="56" t="n">
        <x:v>0</x:v>
      </x:c>
    </x:row>
    <x:row r="38" ht="25" customHeight="1">
      <x:c r="A38" s="64" t="str">
        <x:v>2F-09</x:v>
      </x:c>
      <x:c r="B38" s="64" t="str">
        <x:v>2F</x:v>
      </x:c>
      <x:c r="C38" s="63" t="str">
        <x:v>常勤</x:v>
      </x:c>
      <x:c r="D38" s="63" t="str">
        <x:v>介護福祉士</x:v>
      </x:c>
      <x:c r="E38" s="63" t="str">
        <x:v>中堅</x:v>
      </x:c>
      <x:c r="F38" s="63" t="str">
        <x:v>可</x:v>
      </x:c>
      <x:c r="G38" s="63" t="str">
        <x:v>原則不可</x:v>
      </x:c>
      <x:c r="H38" s="63" t="n">
        <x:v>5</x:v>
      </x:c>
      <x:c r="I38" s="63" t="str">
        <x:v>女性</x:v>
      </x:c>
      <x:c r="J38" s="68" t="n">
        <x:v>53</x:v>
      </x:c>
      <x:c r="K38" s="66" t="n">
        <x:v>42461</x:v>
      </x:c>
      <x:c r="L38" s="68" t="n">
        <x:f>YEAR('施設設定'!$B$6)-YEAR(K38)-IF(MONTH('施設設定'!$B$6)*100+DAY('施設設定'!$B$6)&lt;MONTH(K38)*100+DAY(K38),1,0)</x:f>
        <x:v>10</x:v>
      </x:c>
      <x:c r="M38" s="63" t="str">
        <x:v>不可</x:v>
      </x:c>
      <x:c r="N38" s="63" t="str">
        <x:v>早・日・遅・夜</x:v>
      </x:c>
      <x:c r="O38" s="63" t="n">
        <x:v>40</x:v>
      </x:c>
      <x:c r="P38" s="63"/>
      <x:c r="Q38" s="63" t="n">
        <x:f>'施設設定'!$B$9</x:f>
        <x:v>111</x:v>
      </x:c>
      <x:c r="R38" s="63" t="str">
        <x:v>既存サンプル</x:v>
      </x:c>
      <x:c r="S38" s="63" t="n">
        <x:v>0</x:v>
      </x:c>
    </x:row>
    <x:row r="39" ht="25" customHeight="1">
      <x:c r="A39" s="65" t="str">
        <x:v>2F-10</x:v>
      </x:c>
      <x:c r="B39" s="65" t="str">
        <x:v>2F</x:v>
      </x:c>
      <x:c r="C39" s="56" t="str">
        <x:v>常勤</x:v>
      </x:c>
      <x:c r="D39" s="56" t="str">
        <x:v>介護福祉士</x:v>
      </x:c>
      <x:c r="E39" s="56" t="str">
        <x:v>中堅</x:v>
      </x:c>
      <x:c r="F39" s="56" t="str">
        <x:v>可</x:v>
      </x:c>
      <x:c r="G39" s="56" t="str">
        <x:v>原則不可</x:v>
      </x:c>
      <x:c r="H39" s="56" t="n">
        <x:v>5</x:v>
      </x:c>
      <x:c r="I39" s="56" t="str">
        <x:v>男性</x:v>
      </x:c>
      <x:c r="J39" s="69" t="n">
        <x:v>60</x:v>
      </x:c>
      <x:c r="K39" s="67" t="n">
        <x:v>42095</x:v>
      </x:c>
      <x:c r="L39" s="69" t="n">
        <x:f>YEAR('施設設定'!$B$6)-YEAR(K39)-IF(MONTH('施設設定'!$B$6)*100+DAY('施設設定'!$B$6)&lt;MONTH(K39)*100+DAY(K39),1,0)</x:f>
        <x:v>11</x:v>
      </x:c>
      <x:c r="M39" s="56" t="str">
        <x:v>不可</x:v>
      </x:c>
      <x:c r="N39" s="56" t="str">
        <x:v>早・日・遅・夜</x:v>
      </x:c>
      <x:c r="O39" s="56" t="n">
        <x:v>40</x:v>
      </x:c>
      <x:c r="P39" s="56"/>
      <x:c r="Q39" s="56" t="n">
        <x:f>'施設設定'!$B$9</x:f>
        <x:v>111</x:v>
      </x:c>
      <x:c r="R39" s="56" t="str">
        <x:v>既存サンプル</x:v>
      </x:c>
      <x:c r="S39" s="56" t="n">
        <x:v>0</x:v>
      </x:c>
    </x:row>
    <x:row r="40" ht="25" customHeight="1">
      <x:c r="A40" s="64" t="str">
        <x:v>2F-11</x:v>
      </x:c>
      <x:c r="B40" s="64" t="str">
        <x:v>2F</x:v>
      </x:c>
      <x:c r="C40" s="63" t="str">
        <x:v>常勤</x:v>
      </x:c>
      <x:c r="D40" s="63" t="str">
        <x:v>実務者研修</x:v>
      </x:c>
      <x:c r="E40" s="63" t="str">
        <x:v>中堅</x:v>
      </x:c>
      <x:c r="F40" s="63" t="str">
        <x:v>可</x:v>
      </x:c>
      <x:c r="G40" s="63" t="str">
        <x:v>原則不可</x:v>
      </x:c>
      <x:c r="H40" s="63" t="n">
        <x:v>5</x:v>
      </x:c>
      <x:c r="I40" s="63" t="str">
        <x:v>女性</x:v>
      </x:c>
      <x:c r="J40" s="68" t="n">
        <x:v>27</x:v>
      </x:c>
      <x:c r="K40" s="66" t="n">
        <x:v>43556</x:v>
      </x:c>
      <x:c r="L40" s="68" t="n">
        <x:f>YEAR('施設設定'!$B$6)-YEAR(K40)-IF(MONTH('施設設定'!$B$6)*100+DAY('施設設定'!$B$6)&lt;MONTH(K40)*100+DAY(K40),1,0)</x:f>
        <x:v>7</x:v>
      </x:c>
      <x:c r="M40" s="63" t="str">
        <x:v>不可</x:v>
      </x:c>
      <x:c r="N40" s="63" t="str">
        <x:v>早・日・遅・夜</x:v>
      </x:c>
      <x:c r="O40" s="63" t="n">
        <x:v>40</x:v>
      </x:c>
      <x:c r="P40" s="63"/>
      <x:c r="Q40" s="63" t="n">
        <x:f>'施設設定'!$B$9</x:f>
        <x:v>111</x:v>
      </x:c>
      <x:c r="R40" s="63" t="str">
        <x:v>既存サンプル</x:v>
      </x:c>
      <x:c r="S40" s="63" t="n">
        <x:v>0</x:v>
      </x:c>
    </x:row>
    <x:row r="41" ht="25" customHeight="1">
      <x:c r="A41" s="65" t="str">
        <x:v>2F-12</x:v>
      </x:c>
      <x:c r="B41" s="65" t="str">
        <x:v>2F</x:v>
      </x:c>
      <x:c r="C41" s="56" t="str">
        <x:v>常勤</x:v>
      </x:c>
      <x:c r="D41" s="56" t="str">
        <x:v>実務者研修</x:v>
      </x:c>
      <x:c r="E41" s="56" t="str">
        <x:v>中堅</x:v>
      </x:c>
      <x:c r="F41" s="56" t="str">
        <x:v>可</x:v>
      </x:c>
      <x:c r="G41" s="56" t="str">
        <x:v>原則不可</x:v>
      </x:c>
      <x:c r="H41" s="56" t="n">
        <x:v>5</x:v>
      </x:c>
      <x:c r="I41" s="56" t="str">
        <x:v>男性</x:v>
      </x:c>
      <x:c r="J41" s="69" t="n">
        <x:v>34</x:v>
      </x:c>
      <x:c r="K41" s="67" t="n">
        <x:v>45748</x:v>
      </x:c>
      <x:c r="L41" s="69" t="n">
        <x:f>YEAR('施設設定'!$B$6)-YEAR(K41)-IF(MONTH('施設設定'!$B$6)*100+DAY('施設設定'!$B$6)&lt;MONTH(K41)*100+DAY(K41),1,0)</x:f>
        <x:v>1</x:v>
      </x:c>
      <x:c r="M41" s="56" t="str">
        <x:v>不可</x:v>
      </x:c>
      <x:c r="N41" s="56" t="str">
        <x:v>早・日・遅・夜</x:v>
      </x:c>
      <x:c r="O41" s="56" t="n">
        <x:v>40</x:v>
      </x:c>
      <x:c r="P41" s="56"/>
      <x:c r="Q41" s="56" t="n">
        <x:f>'施設設定'!$B$9</x:f>
        <x:v>111</x:v>
      </x:c>
      <x:c r="R41" s="56" t="str">
        <x:v>既存サンプル</x:v>
      </x:c>
      <x:c r="S41" s="56" t="n">
        <x:v>0</x:v>
      </x:c>
    </x:row>
    <x:row r="42" ht="25" customHeight="1">
      <x:c r="A42" s="64" t="str">
        <x:v>2F-13</x:v>
      </x:c>
      <x:c r="B42" s="64" t="str">
        <x:v>2F</x:v>
      </x:c>
      <x:c r="C42" s="63" t="str">
        <x:v>常勤</x:v>
      </x:c>
      <x:c r="D42" s="63" t="str">
        <x:v>実務者研修</x:v>
      </x:c>
      <x:c r="E42" s="63" t="str">
        <x:v>中堅</x:v>
      </x:c>
      <x:c r="F42" s="63" t="str">
        <x:v>可</x:v>
      </x:c>
      <x:c r="G42" s="63" t="str">
        <x:v>原則不可</x:v>
      </x:c>
      <x:c r="H42" s="63" t="n">
        <x:v>5</x:v>
      </x:c>
      <x:c r="I42" s="63" t="str">
        <x:v>女性</x:v>
      </x:c>
      <x:c r="J42" s="68" t="n">
        <x:v>41</x:v>
      </x:c>
      <x:c r="K42" s="66" t="n">
        <x:v>45383</x:v>
      </x:c>
      <x:c r="L42" s="68" t="n">
        <x:f>YEAR('施設設定'!$B$6)-YEAR(K42)-IF(MONTH('施設設定'!$B$6)*100+DAY('施設設定'!$B$6)&lt;MONTH(K42)*100+DAY(K42),1,0)</x:f>
        <x:v>2</x:v>
      </x:c>
      <x:c r="M42" s="63" t="str">
        <x:v>不可</x:v>
      </x:c>
      <x:c r="N42" s="63" t="str">
        <x:v>早・日・遅・夜</x:v>
      </x:c>
      <x:c r="O42" s="63" t="n">
        <x:v>40</x:v>
      </x:c>
      <x:c r="P42" s="63"/>
      <x:c r="Q42" s="63" t="n">
        <x:f>'施設設定'!$B$9</x:f>
        <x:v>111</x:v>
      </x:c>
      <x:c r="R42" s="63" t="str">
        <x:v>既存サンプル</x:v>
      </x:c>
      <x:c r="S42" s="63" t="n">
        <x:v>0</x:v>
      </x:c>
    </x:row>
    <x:row r="43" ht="25" customHeight="1">
      <x:c r="A43" s="65" t="str">
        <x:v>2F-14</x:v>
      </x:c>
      <x:c r="B43" s="65" t="str">
        <x:v>2F</x:v>
      </x:c>
      <x:c r="C43" s="56" t="str">
        <x:v>常勤</x:v>
      </x:c>
      <x:c r="D43" s="56" t="str">
        <x:v>実務者研修</x:v>
      </x:c>
      <x:c r="E43" s="56" t="str">
        <x:v>中堅</x:v>
      </x:c>
      <x:c r="F43" s="56" t="str">
        <x:v>可</x:v>
      </x:c>
      <x:c r="G43" s="56" t="str">
        <x:v>原則不可</x:v>
      </x:c>
      <x:c r="H43" s="56" t="n">
        <x:v>5</x:v>
      </x:c>
      <x:c r="I43" s="56" t="str">
        <x:v>男性</x:v>
      </x:c>
      <x:c r="J43" s="69" t="n">
        <x:v>48</x:v>
      </x:c>
      <x:c r="K43" s="67" t="n">
        <x:v>45017</x:v>
      </x:c>
      <x:c r="L43" s="69" t="n">
        <x:f>YEAR('施設設定'!$B$6)-YEAR(K43)-IF(MONTH('施設設定'!$B$6)*100+DAY('施設設定'!$B$6)&lt;MONTH(K43)*100+DAY(K43),1,0)</x:f>
        <x:v>3</x:v>
      </x:c>
      <x:c r="M43" s="56" t="str">
        <x:v>不可</x:v>
      </x:c>
      <x:c r="N43" s="56" t="str">
        <x:v>早・日・遅・夜</x:v>
      </x:c>
      <x:c r="O43" s="56" t="n">
        <x:v>40</x:v>
      </x:c>
      <x:c r="P43" s="56"/>
      <x:c r="Q43" s="56" t="n">
        <x:f>'施設設定'!$B$9</x:f>
        <x:v>111</x:v>
      </x:c>
      <x:c r="R43" s="56" t="str">
        <x:v>既存サンプル</x:v>
      </x:c>
      <x:c r="S43" s="56" t="n">
        <x:v>0</x:v>
      </x:c>
    </x:row>
    <x:row r="44" ht="25" customHeight="1">
      <x:c r="A44" s="64" t="str">
        <x:v>2F-15</x:v>
      </x:c>
      <x:c r="B44" s="64" t="str">
        <x:v>2F</x:v>
      </x:c>
      <x:c r="C44" s="63" t="str">
        <x:v>常勤</x:v>
      </x:c>
      <x:c r="D44" s="63" t="str">
        <x:v>実務者研修</x:v>
      </x:c>
      <x:c r="E44" s="63" t="str">
        <x:v>新人</x:v>
      </x:c>
      <x:c r="F44" s="63" t="str">
        <x:v>不可</x:v>
      </x:c>
      <x:c r="G44" s="63" t="str">
        <x:v>原則不可</x:v>
      </x:c>
      <x:c r="H44" s="63" t="n">
        <x:v>0</x:v>
      </x:c>
      <x:c r="I44" s="63" t="str">
        <x:v>女性</x:v>
      </x:c>
      <x:c r="J44" s="68" t="n">
        <x:v>55</x:v>
      </x:c>
      <x:c r="K44" s="66" t="n">
        <x:v>44652</x:v>
      </x:c>
      <x:c r="L44" s="68" t="n">
        <x:f>YEAR('施設設定'!$B$6)-YEAR(K44)-IF(MONTH('施設設定'!$B$6)*100+DAY('施設設定'!$B$6)&lt;MONTH(K44)*100+DAY(K44),1,0)</x:f>
        <x:v>4</x:v>
      </x:c>
      <x:c r="M44" s="63" t="str">
        <x:v>不可</x:v>
      </x:c>
      <x:c r="N44" s="63" t="str">
        <x:v>早・日・遅</x:v>
      </x:c>
      <x:c r="O44" s="63" t="n">
        <x:v>40</x:v>
      </x:c>
      <x:c r="P44" s="63"/>
      <x:c r="Q44" s="63" t="n">
        <x:f>'施設設定'!$B$9</x:f>
        <x:v>111</x:v>
      </x:c>
      <x:c r="R44" s="63" t="str">
        <x:v>既存サンプル</x:v>
      </x:c>
      <x:c r="S44" s="63" t="n">
        <x:v>0</x:v>
      </x:c>
    </x:row>
    <x:row r="45" ht="25" customHeight="1">
      <x:c r="A45" s="65" t="str">
        <x:v>2F-16</x:v>
      </x:c>
      <x:c r="B45" s="65" t="str">
        <x:v>2F</x:v>
      </x:c>
      <x:c r="C45" s="56" t="str">
        <x:v>常勤</x:v>
      </x:c>
      <x:c r="D45" s="56" t="str">
        <x:v>初任者研修</x:v>
      </x:c>
      <x:c r="E45" s="56" t="str">
        <x:v>新人</x:v>
      </x:c>
      <x:c r="F45" s="56" t="str">
        <x:v>不可</x:v>
      </x:c>
      <x:c r="G45" s="56" t="str">
        <x:v>原則不可</x:v>
      </x:c>
      <x:c r="H45" s="56" t="n">
        <x:v>0</x:v>
      </x:c>
      <x:c r="I45" s="56" t="str">
        <x:v>男性</x:v>
      </x:c>
      <x:c r="J45" s="69" t="n">
        <x:v>62</x:v>
      </x:c>
      <x:c r="K45" s="67" t="n">
        <x:v>44287</x:v>
      </x:c>
      <x:c r="L45" s="69" t="n">
        <x:f>YEAR('施設設定'!$B$6)-YEAR(K45)-IF(MONTH('施設設定'!$B$6)*100+DAY('施設設定'!$B$6)&lt;MONTH(K45)*100+DAY(K45),1,0)</x:f>
        <x:v>5</x:v>
      </x:c>
      <x:c r="M45" s="56" t="str">
        <x:v>不可</x:v>
      </x:c>
      <x:c r="N45" s="56" t="str">
        <x:v>早・日・遅</x:v>
      </x:c>
      <x:c r="O45" s="56" t="n">
        <x:v>40</x:v>
      </x:c>
      <x:c r="P45" s="56"/>
      <x:c r="Q45" s="56" t="n">
        <x:f>'施設設定'!$B$9</x:f>
        <x:v>111</x:v>
      </x:c>
      <x:c r="R45" s="56" t="str">
        <x:v>既存サンプル</x:v>
      </x:c>
      <x:c r="S45" s="56" t="n">
        <x:v>0</x:v>
      </x:c>
    </x:row>
    <x:row r="46" ht="25" customHeight="1">
      <x:c r="A46" s="64" t="str">
        <x:v>2F-17</x:v>
      </x:c>
      <x:c r="B46" s="64" t="str">
        <x:v>2F</x:v>
      </x:c>
      <x:c r="C46" s="63" t="str">
        <x:v>非常勤</x:v>
      </x:c>
      <x:c r="D46" s="63" t="str">
        <x:v>初任者研修</x:v>
      </x:c>
      <x:c r="E46" s="63" t="str">
        <x:v>新人</x:v>
      </x:c>
      <x:c r="F46" s="63" t="str">
        <x:v>不可</x:v>
      </x:c>
      <x:c r="G46" s="63" t="str">
        <x:v>原則不可</x:v>
      </x:c>
      <x:c r="H46" s="63" t="n">
        <x:v>0</x:v>
      </x:c>
      <x:c r="I46" s="63" t="str">
        <x:v>女性</x:v>
      </x:c>
      <x:c r="J46" s="68" t="n">
        <x:v>29</x:v>
      </x:c>
      <x:c r="K46" s="66" t="n">
        <x:v>43922</x:v>
      </x:c>
      <x:c r="L46" s="68" t="n">
        <x:f>YEAR('施設設定'!$B$6)-YEAR(K46)-IF(MONTH('施設設定'!$B$6)*100+DAY('施設設定'!$B$6)&lt;MONTH(K46)*100+DAY(K46),1,0)</x:f>
        <x:v>6</x:v>
      </x:c>
      <x:c r="M46" s="63" t="str">
        <x:v>不可</x:v>
      </x:c>
      <x:c r="N46" s="63" t="str">
        <x:v>午</x:v>
      </x:c>
      <x:c r="O46" s="63" t="n">
        <x:v>12</x:v>
      </x:c>
      <x:c r="P46" s="63" t="n">
        <x:v>3</x:v>
      </x:c>
      <x:c r="Q46" s="63"/>
      <x:c r="R46" s="63" t="str">
        <x:v>既存サンプル</x:v>
      </x:c>
      <x:c r="S46" s="63" t="n">
        <x:v>0</x:v>
      </x:c>
    </x:row>
    <x:row r="47" ht="25" customHeight="1">
      <x:c r="A47" s="65" t="str">
        <x:v>2F-18</x:v>
      </x:c>
      <x:c r="B47" s="65" t="str">
        <x:v>2F</x:v>
      </x:c>
      <x:c r="C47" s="56" t="str">
        <x:v>非常勤</x:v>
      </x:c>
      <x:c r="D47" s="56" t="str">
        <x:v>初任者研修</x:v>
      </x:c>
      <x:c r="E47" s="56" t="str">
        <x:v>新人</x:v>
      </x:c>
      <x:c r="F47" s="56" t="str">
        <x:v>不可</x:v>
      </x:c>
      <x:c r="G47" s="56" t="str">
        <x:v>原則不可</x:v>
      </x:c>
      <x:c r="H47" s="56" t="n">
        <x:v>0</x:v>
      </x:c>
      <x:c r="I47" s="56" t="str">
        <x:v>男性</x:v>
      </x:c>
      <x:c r="J47" s="69" t="n">
        <x:v>36</x:v>
      </x:c>
      <x:c r="K47" s="67" t="n">
        <x:v>43556</x:v>
      </x:c>
      <x:c r="L47" s="69" t="n">
        <x:f>YEAR('施設設定'!$B$6)-YEAR(K47)-IF(MONTH('施設設定'!$B$6)*100+DAY('施設設定'!$B$6)&lt;MONTH(K47)*100+DAY(K47),1,0)</x:f>
        <x:v>7</x:v>
      </x:c>
      <x:c r="M47" s="56" t="str">
        <x:v>不可</x:v>
      </x:c>
      <x:c r="N47" s="56" t="str">
        <x:v>後</x:v>
      </x:c>
      <x:c r="O47" s="56" t="n">
        <x:v>12</x:v>
      </x:c>
      <x:c r="P47" s="56" t="n">
        <x:v>3</x:v>
      </x:c>
      <x:c r="Q47" s="56"/>
      <x:c r="R47" s="56" t="str">
        <x:v>既存サンプル</x:v>
      </x:c>
      <x:c r="S47" s="56" t="n">
        <x:v>0</x:v>
      </x:c>
    </x:row>
    <x:row r="48" ht="25" customHeight="1">
      <x:c r="A48" s="64" t="str">
        <x:v>2F-19</x:v>
      </x:c>
      <x:c r="B48" s="64" t="str">
        <x:v>2F</x:v>
      </x:c>
      <x:c r="C48" s="63" t="str">
        <x:v>非常勤</x:v>
      </x:c>
      <x:c r="D48" s="63" t="str">
        <x:v>初任者研修</x:v>
      </x:c>
      <x:c r="E48" s="63" t="str">
        <x:v>新人</x:v>
      </x:c>
      <x:c r="F48" s="63" t="str">
        <x:v>不可</x:v>
      </x:c>
      <x:c r="G48" s="63" t="str">
        <x:v>原則不可</x:v>
      </x:c>
      <x:c r="H48" s="63" t="n">
        <x:v>0</x:v>
      </x:c>
      <x:c r="I48" s="63" t="str">
        <x:v>女性</x:v>
      </x:c>
      <x:c r="J48" s="68" t="n">
        <x:v>43</x:v>
      </x:c>
      <x:c r="K48" s="66" t="n">
        <x:v>43191</x:v>
      </x:c>
      <x:c r="L48" s="68" t="n">
        <x:f>YEAR('施設設定'!$B$6)-YEAR(K48)-IF(MONTH('施設設定'!$B$6)*100+DAY('施設設定'!$B$6)&lt;MONTH(K48)*100+DAY(K48),1,0)</x:f>
        <x:v>8</x:v>
      </x:c>
      <x:c r="M48" s="63" t="str">
        <x:v>不可</x:v>
      </x:c>
      <x:c r="N48" s="63" t="str">
        <x:v>午</x:v>
      </x:c>
      <x:c r="O48" s="63" t="n">
        <x:v>12</x:v>
      </x:c>
      <x:c r="P48" s="63" t="n">
        <x:v>3</x:v>
      </x:c>
      <x:c r="Q48" s="63"/>
      <x:c r="R48" s="63" t="str">
        <x:v>既存サンプル</x:v>
      </x:c>
      <x:c r="S48" s="63" t="n">
        <x:v>0</x:v>
      </x:c>
    </x:row>
    <x:row r="49" ht="25" customHeight="1">
      <x:c r="A49" s="65" t="str">
        <x:v>2F-20</x:v>
      </x:c>
      <x:c r="B49" s="65" t="str">
        <x:v>2F</x:v>
      </x:c>
      <x:c r="C49" s="56" t="str">
        <x:v>非常勤</x:v>
      </x:c>
      <x:c r="D49" s="56" t="str">
        <x:v>初任者研修</x:v>
      </x:c>
      <x:c r="E49" s="56" t="str">
        <x:v>新人</x:v>
      </x:c>
      <x:c r="F49" s="56" t="str">
        <x:v>不可</x:v>
      </x:c>
      <x:c r="G49" s="56" t="str">
        <x:v>原則不可</x:v>
      </x:c>
      <x:c r="H49" s="56" t="n">
        <x:v>0</x:v>
      </x:c>
      <x:c r="I49" s="56" t="str">
        <x:v>男性</x:v>
      </x:c>
      <x:c r="J49" s="69" t="n">
        <x:v>50</x:v>
      </x:c>
      <x:c r="K49" s="67" t="n">
        <x:v>42826</x:v>
      </x:c>
      <x:c r="L49" s="69" t="n">
        <x:f>YEAR('施設設定'!$B$6)-YEAR(K49)-IF(MONTH('施設設定'!$B$6)*100+DAY('施設設定'!$B$6)&lt;MONTH(K49)*100+DAY(K49),1,0)</x:f>
        <x:v>9</x:v>
      </x:c>
      <x:c r="M49" s="56" t="str">
        <x:v>不可</x:v>
      </x:c>
      <x:c r="N49" s="56" t="str">
        <x:v>後</x:v>
      </x:c>
      <x:c r="O49" s="56" t="n">
        <x:v>12</x:v>
      </x:c>
      <x:c r="P49" s="56" t="n">
        <x:v>3</x:v>
      </x:c>
      <x:c r="Q49" s="56"/>
      <x:c r="R49" s="56" t="str">
        <x:v>既存サンプル</x:v>
      </x:c>
      <x:c r="S49" s="56" t="n">
        <x:v>0</x:v>
      </x:c>
    </x:row>
    <x:row r="50" ht="25" customHeight="1">
      <x:c r="A50" s="64" t="str">
        <x:v>2F-21</x:v>
      </x:c>
      <x:c r="B50" s="64" t="str">
        <x:v>2F</x:v>
      </x:c>
      <x:c r="C50" s="63" t="str">
        <x:v>非常勤</x:v>
      </x:c>
      <x:c r="D50" s="63" t="str">
        <x:v>初任者研修</x:v>
      </x:c>
      <x:c r="E50" s="63" t="str">
        <x:v>新人</x:v>
      </x:c>
      <x:c r="F50" s="63" t="str">
        <x:v>不可</x:v>
      </x:c>
      <x:c r="G50" s="63" t="str">
        <x:v>原則不可</x:v>
      </x:c>
      <x:c r="H50" s="63" t="n">
        <x:v>0</x:v>
      </x:c>
      <x:c r="I50" s="63" t="str">
        <x:v>女性</x:v>
      </x:c>
      <x:c r="J50" s="68" t="n">
        <x:v>57</x:v>
      </x:c>
      <x:c r="K50" s="66" t="n">
        <x:v>42461</x:v>
      </x:c>
      <x:c r="L50" s="68" t="n">
        <x:f>YEAR('施設設定'!$B$6)-YEAR(K50)-IF(MONTH('施設設定'!$B$6)*100+DAY('施設設定'!$B$6)&lt;MONTH(K50)*100+DAY(K50),1,0)</x:f>
        <x:v>10</x:v>
      </x:c>
      <x:c r="M50" s="63" t="str">
        <x:v>不可</x:v>
      </x:c>
      <x:c r="N50" s="63" t="str">
        <x:v>午</x:v>
      </x:c>
      <x:c r="O50" s="63" t="n">
        <x:v>12</x:v>
      </x:c>
      <x:c r="P50" s="63" t="n">
        <x:v>3</x:v>
      </x:c>
      <x:c r="Q50" s="63"/>
      <x:c r="R50" s="63" t="str">
        <x:v>追加候補（仮）</x:v>
      </x:c>
      <x:c r="S50" s="63" t="n">
        <x:v>0</x:v>
      </x:c>
    </x:row>
    <x:row r="51" ht="25" customHeight="1">
      <x:c r="A51" s="65" t="str">
        <x:v>2F-22</x:v>
      </x:c>
      <x:c r="B51" s="65" t="str">
        <x:v>2F</x:v>
      </x:c>
      <x:c r="C51" s="56" t="str">
        <x:v>非常勤</x:v>
      </x:c>
      <x:c r="D51" s="56" t="str">
        <x:v>初任者研修</x:v>
      </x:c>
      <x:c r="E51" s="56" t="str">
        <x:v>新人</x:v>
      </x:c>
      <x:c r="F51" s="56" t="str">
        <x:v>不可</x:v>
      </x:c>
      <x:c r="G51" s="56" t="str">
        <x:v>原則不可</x:v>
      </x:c>
      <x:c r="H51" s="56" t="n">
        <x:v>0</x:v>
      </x:c>
      <x:c r="I51" s="56" t="str">
        <x:v>男性</x:v>
      </x:c>
      <x:c r="J51" s="69" t="n">
        <x:v>24</x:v>
      </x:c>
      <x:c r="K51" s="67" t="n">
        <x:v>44652</x:v>
      </x:c>
      <x:c r="L51" s="69" t="n">
        <x:f>YEAR('施設設定'!$B$6)-YEAR(K51)-IF(MONTH('施設設定'!$B$6)*100+DAY('施設設定'!$B$6)&lt;MONTH(K51)*100+DAY(K51),1,0)</x:f>
        <x:v>4</x:v>
      </x:c>
      <x:c r="M51" s="56" t="str">
        <x:v>不可</x:v>
      </x:c>
      <x:c r="N51" s="56" t="str">
        <x:v>後</x:v>
      </x:c>
      <x:c r="O51" s="56" t="n">
        <x:v>12</x:v>
      </x:c>
      <x:c r="P51" s="56" t="n">
        <x:v>3</x:v>
      </x:c>
      <x:c r="Q51" s="56"/>
      <x:c r="R51" s="56" t="str">
        <x:v>追加候補（仮）</x:v>
      </x:c>
      <x:c r="S51" s="56" t="n">
        <x:v>0</x:v>
      </x:c>
    </x:row>
    <x:row r="52" ht="25" customHeight="1">
      <x:c r="A52" s="64" t="str">
        <x:v>2F-23</x:v>
      </x:c>
      <x:c r="B52" s="64" t="str">
        <x:v>2F</x:v>
      </x:c>
      <x:c r="C52" s="63" t="str">
        <x:v>非常勤</x:v>
      </x:c>
      <x:c r="D52" s="63" t="str">
        <x:v>介護福祉士</x:v>
      </x:c>
      <x:c r="E52" s="63" t="str">
        <x:v>中堅</x:v>
      </x:c>
      <x:c r="F52" s="63" t="str">
        <x:v>不可</x:v>
      </x:c>
      <x:c r="G52" s="63" t="str">
        <x:v>可</x:v>
      </x:c>
      <x:c r="H52" s="63" t="n">
        <x:v>0</x:v>
      </x:c>
      <x:c r="I52" s="63" t="str">
        <x:v>女性</x:v>
      </x:c>
      <x:c r="J52" s="68" t="n">
        <x:v>31</x:v>
      </x:c>
      <x:c r="K52" s="66" t="n">
        <x:v>42095</x:v>
      </x:c>
      <x:c r="L52" s="68" t="n">
        <x:f>YEAR('施設設定'!$B$6)-YEAR(K52)-IF(MONTH('施設設定'!$B$6)*100+DAY('施設設定'!$B$6)&lt;MONTH(K52)*100+DAY(K52),1,0)</x:f>
        <x:v>11</x:v>
      </x:c>
      <x:c r="M52" s="63" t="str">
        <x:v>不可</x:v>
      </x:c>
      <x:c r="N52" s="63" t="str">
        <x:v>短A</x:v>
      </x:c>
      <x:c r="O52" s="63" t="n">
        <x:v>9</x:v>
      </x:c>
      <x:c r="P52" s="63" t="n">
        <x:v>3</x:v>
      </x:c>
      <x:c r="Q52" s="63"/>
      <x:c r="R52" s="63" t="str">
        <x:v>追加候補（仮）</x:v>
      </x:c>
      <x:c r="S52" s="63" t="n">
        <x:v>13</x:v>
      </x:c>
    </x:row>
    <x:row r="53" ht="25" customHeight="1">
      <x:c r="A53" s="65" t="str">
        <x:v>2F-24</x:v>
      </x:c>
      <x:c r="B53" s="65" t="str">
        <x:v>2F</x:v>
      </x:c>
      <x:c r="C53" s="56" t="str">
        <x:v>非常勤</x:v>
      </x:c>
      <x:c r="D53" s="56" t="str">
        <x:v>介護福祉士</x:v>
      </x:c>
      <x:c r="E53" s="56" t="str">
        <x:v>中堅</x:v>
      </x:c>
      <x:c r="F53" s="56" t="str">
        <x:v>不可</x:v>
      </x:c>
      <x:c r="G53" s="56" t="str">
        <x:v>可</x:v>
      </x:c>
      <x:c r="H53" s="56" t="n">
        <x:v>0</x:v>
      </x:c>
      <x:c r="I53" s="56" t="str">
        <x:v>男性</x:v>
      </x:c>
      <x:c r="J53" s="69" t="n">
        <x:v>38</x:v>
      </x:c>
      <x:c r="K53" s="67" t="n">
        <x:v>45748</x:v>
      </x:c>
      <x:c r="L53" s="69" t="n">
        <x:f>YEAR('施設設定'!$B$6)-YEAR(K53)-IF(MONTH('施設設定'!$B$6)*100+DAY('施設設定'!$B$6)&lt;MONTH(K53)*100+DAY(K53),1,0)</x:f>
        <x:v>1</x:v>
      </x:c>
      <x:c r="M53" s="56" t="str">
        <x:v>不可</x:v>
      </x:c>
      <x:c r="N53" s="56" t="str">
        <x:v>短B</x:v>
      </x:c>
      <x:c r="O53" s="56" t="n">
        <x:v>9</x:v>
      </x:c>
      <x:c r="P53" s="56" t="n">
        <x:v>3</x:v>
      </x:c>
      <x:c r="Q53" s="56"/>
      <x:c r="R53" s="56" t="str">
        <x:v>追加候補（仮）</x:v>
      </x:c>
      <x:c r="S53" s="56" t="n">
        <x:v>13</x:v>
      </x:c>
    </x:row>
    <x:row r="54" ht="25" customHeight="1">
      <x:c r="A54" s="64" t="str">
        <x:v>3F-01</x:v>
      </x:c>
      <x:c r="B54" s="64" t="str">
        <x:v>3F</x:v>
      </x:c>
      <x:c r="C54" s="63" t="str">
        <x:v>常勤</x:v>
      </x:c>
      <x:c r="D54" s="63" t="str">
        <x:v>介護福祉士</x:v>
      </x:c>
      <x:c r="E54" s="63" t="str">
        <x:v>ベテラン</x:v>
      </x:c>
      <x:c r="F54" s="63" t="str">
        <x:v>可</x:v>
      </x:c>
      <x:c r="G54" s="63" t="str">
        <x:v>可</x:v>
      </x:c>
      <x:c r="H54" s="63" t="n">
        <x:v>5</x:v>
      </x:c>
      <x:c r="I54" s="63" t="str">
        <x:v>女性</x:v>
      </x:c>
      <x:c r="J54" s="68" t="n">
        <x:v>40</x:v>
      </x:c>
      <x:c r="K54" s="66" t="n">
        <x:v>45383</x:v>
      </x:c>
      <x:c r="L54" s="68" t="n">
        <x:f>YEAR('施設設定'!$B$6)-YEAR(K54)-IF(MONTH('施設設定'!$B$6)*100+DAY('施設設定'!$B$6)&lt;MONTH(K54)*100+DAY(K54),1,0)</x:f>
        <x:v>2</x:v>
      </x:c>
      <x:c r="M54" s="63" t="str">
        <x:v>可</x:v>
      </x:c>
      <x:c r="N54" s="63" t="str">
        <x:v>早・日・遅・夜</x:v>
      </x:c>
      <x:c r="O54" s="63" t="n">
        <x:v>40</x:v>
      </x:c>
      <x:c r="P54" s="63"/>
      <x:c r="Q54" s="63" t="n">
        <x:f>'施設設定'!$B$9</x:f>
        <x:v>111</x:v>
      </x:c>
      <x:c r="R54" s="63" t="str">
        <x:v>既存サンプル</x:v>
      </x:c>
      <x:c r="S54" s="63" t="n">
        <x:v>0</x:v>
      </x:c>
    </x:row>
    <x:row r="55" ht="25" customHeight="1">
      <x:c r="A55" s="65" t="str">
        <x:v>3F-02</x:v>
      </x:c>
      <x:c r="B55" s="65" t="str">
        <x:v>3F</x:v>
      </x:c>
      <x:c r="C55" s="56" t="str">
        <x:v>常勤</x:v>
      </x:c>
      <x:c r="D55" s="56" t="str">
        <x:v>介護福祉士</x:v>
      </x:c>
      <x:c r="E55" s="56" t="str">
        <x:v>ベテラン</x:v>
      </x:c>
      <x:c r="F55" s="56" t="str">
        <x:v>可</x:v>
      </x:c>
      <x:c r="G55" s="56" t="str">
        <x:v>可</x:v>
      </x:c>
      <x:c r="H55" s="56" t="n">
        <x:v>5</x:v>
      </x:c>
      <x:c r="I55" s="56" t="str">
        <x:v>男性</x:v>
      </x:c>
      <x:c r="J55" s="69" t="n">
        <x:v>47</x:v>
      </x:c>
      <x:c r="K55" s="67" t="n">
        <x:v>45017</x:v>
      </x:c>
      <x:c r="L55" s="69" t="n">
        <x:f>YEAR('施設設定'!$B$6)-YEAR(K55)-IF(MONTH('施設設定'!$B$6)*100+DAY('施設設定'!$B$6)&lt;MONTH(K55)*100+DAY(K55),1,0)</x:f>
        <x:v>3</x:v>
      </x:c>
      <x:c r="M55" s="56" t="str">
        <x:v>可</x:v>
      </x:c>
      <x:c r="N55" s="56" t="str">
        <x:v>早・日・遅・夜</x:v>
      </x:c>
      <x:c r="O55" s="56" t="n">
        <x:v>40</x:v>
      </x:c>
      <x:c r="P55" s="56"/>
      <x:c r="Q55" s="56" t="n">
        <x:f>'施設設定'!$B$9</x:f>
        <x:v>111</x:v>
      </x:c>
      <x:c r="R55" s="56" t="str">
        <x:v>既存サンプル</x:v>
      </x:c>
      <x:c r="S55" s="56" t="n">
        <x:v>0</x:v>
      </x:c>
    </x:row>
    <x:row r="56" ht="25" customHeight="1">
      <x:c r="A56" s="64" t="str">
        <x:v>3F-03</x:v>
      </x:c>
      <x:c r="B56" s="64" t="str">
        <x:v>3F</x:v>
      </x:c>
      <x:c r="C56" s="63" t="str">
        <x:v>常勤</x:v>
      </x:c>
      <x:c r="D56" s="63" t="str">
        <x:v>介護福祉士</x:v>
      </x:c>
      <x:c r="E56" s="63" t="str">
        <x:v>ベテラン</x:v>
      </x:c>
      <x:c r="F56" s="63" t="str">
        <x:v>可</x:v>
      </x:c>
      <x:c r="G56" s="63" t="str">
        <x:v>可</x:v>
      </x:c>
      <x:c r="H56" s="63" t="n">
        <x:v>5</x:v>
      </x:c>
      <x:c r="I56" s="63" t="str">
        <x:v>女性</x:v>
      </x:c>
      <x:c r="J56" s="68" t="n">
        <x:v>54</x:v>
      </x:c>
      <x:c r="K56" s="66" t="n">
        <x:v>44652</x:v>
      </x:c>
      <x:c r="L56" s="68" t="n">
        <x:f>YEAR('施設設定'!$B$6)-YEAR(K56)-IF(MONTH('施設設定'!$B$6)*100+DAY('施設設定'!$B$6)&lt;MONTH(K56)*100+DAY(K56),1,0)</x:f>
        <x:v>4</x:v>
      </x:c>
      <x:c r="M56" s="63" t="str">
        <x:v>可</x:v>
      </x:c>
      <x:c r="N56" s="63" t="str">
        <x:v>早・日・遅・夜</x:v>
      </x:c>
      <x:c r="O56" s="63" t="n">
        <x:v>40</x:v>
      </x:c>
      <x:c r="P56" s="63"/>
      <x:c r="Q56" s="63" t="n">
        <x:f>'施設設定'!$B$9</x:f>
        <x:v>111</x:v>
      </x:c>
      <x:c r="R56" s="63" t="str">
        <x:v>既存サンプル</x:v>
      </x:c>
      <x:c r="S56" s="63" t="n">
        <x:v>0</x:v>
      </x:c>
    </x:row>
    <x:row r="57" ht="25" customHeight="1">
      <x:c r="A57" s="65" t="str">
        <x:v>3F-04</x:v>
      </x:c>
      <x:c r="B57" s="65" t="str">
        <x:v>3F</x:v>
      </x:c>
      <x:c r="C57" s="56" t="str">
        <x:v>常勤</x:v>
      </x:c>
      <x:c r="D57" s="56" t="str">
        <x:v>介護福祉士</x:v>
      </x:c>
      <x:c r="E57" s="56" t="str">
        <x:v>ベテラン</x:v>
      </x:c>
      <x:c r="F57" s="56" t="str">
        <x:v>可</x:v>
      </x:c>
      <x:c r="G57" s="56" t="str">
        <x:v>可</x:v>
      </x:c>
      <x:c r="H57" s="56" t="n">
        <x:v>5</x:v>
      </x:c>
      <x:c r="I57" s="56" t="str">
        <x:v>男性</x:v>
      </x:c>
      <x:c r="J57" s="69" t="n">
        <x:v>61</x:v>
      </x:c>
      <x:c r="K57" s="67" t="n">
        <x:v>44287</x:v>
      </x:c>
      <x:c r="L57" s="69" t="n">
        <x:f>YEAR('施設設定'!$B$6)-YEAR(K57)-IF(MONTH('施設設定'!$B$6)*100+DAY('施設設定'!$B$6)&lt;MONTH(K57)*100+DAY(K57),1,0)</x:f>
        <x:v>5</x:v>
      </x:c>
      <x:c r="M57" s="56" t="str">
        <x:v>可</x:v>
      </x:c>
      <x:c r="N57" s="56" t="str">
        <x:v>早・日・遅・夜</x:v>
      </x:c>
      <x:c r="O57" s="56" t="n">
        <x:v>40</x:v>
      </x:c>
      <x:c r="P57" s="56"/>
      <x:c r="Q57" s="56" t="n">
        <x:f>'施設設定'!$B$9</x:f>
        <x:v>111</x:v>
      </x:c>
      <x:c r="R57" s="56" t="str">
        <x:v>既存サンプル</x:v>
      </x:c>
      <x:c r="S57" s="56" t="n">
        <x:v>0</x:v>
      </x:c>
    </x:row>
    <x:row r="58" ht="25" customHeight="1">
      <x:c r="A58" s="64" t="str">
        <x:v>3F-05</x:v>
      </x:c>
      <x:c r="B58" s="64" t="str">
        <x:v>3F</x:v>
      </x:c>
      <x:c r="C58" s="63" t="str">
        <x:v>常勤</x:v>
      </x:c>
      <x:c r="D58" s="63" t="str">
        <x:v>介護福祉士</x:v>
      </x:c>
      <x:c r="E58" s="63" t="str">
        <x:v>ベテラン</x:v>
      </x:c>
      <x:c r="F58" s="63" t="str">
        <x:v>可</x:v>
      </x:c>
      <x:c r="G58" s="63" t="str">
        <x:v>原則不可</x:v>
      </x:c>
      <x:c r="H58" s="63" t="n">
        <x:v>5</x:v>
      </x:c>
      <x:c r="I58" s="63" t="str">
        <x:v>女性</x:v>
      </x:c>
      <x:c r="J58" s="68" t="n">
        <x:v>28</x:v>
      </x:c>
      <x:c r="K58" s="66" t="n">
        <x:v>43922</x:v>
      </x:c>
      <x:c r="L58" s="68" t="n">
        <x:f>YEAR('施設設定'!$B$6)-YEAR(K58)-IF(MONTH('施設設定'!$B$6)*100+DAY('施設設定'!$B$6)&lt;MONTH(K58)*100+DAY(K58),1,0)</x:f>
        <x:v>6</x:v>
      </x:c>
      <x:c r="M58" s="63" t="str">
        <x:v>可</x:v>
      </x:c>
      <x:c r="N58" s="63" t="str">
        <x:v>早・日・遅・夜</x:v>
      </x:c>
      <x:c r="O58" s="63" t="n">
        <x:v>40</x:v>
      </x:c>
      <x:c r="P58" s="63"/>
      <x:c r="Q58" s="63" t="n">
        <x:f>'施設設定'!$B$9</x:f>
        <x:v>111</x:v>
      </x:c>
      <x:c r="R58" s="63" t="str">
        <x:v>既存サンプル</x:v>
      </x:c>
      <x:c r="S58" s="63" t="n">
        <x:v>0</x:v>
      </x:c>
    </x:row>
    <x:row r="59" ht="25" customHeight="1">
      <x:c r="A59" s="65" t="str">
        <x:v>3F-06</x:v>
      </x:c>
      <x:c r="B59" s="65" t="str">
        <x:v>3F</x:v>
      </x:c>
      <x:c r="C59" s="56" t="str">
        <x:v>常勤</x:v>
      </x:c>
      <x:c r="D59" s="56" t="str">
        <x:v>介護福祉士</x:v>
      </x:c>
      <x:c r="E59" s="56" t="str">
        <x:v>ベテラン</x:v>
      </x:c>
      <x:c r="F59" s="56" t="str">
        <x:v>可</x:v>
      </x:c>
      <x:c r="G59" s="56" t="str">
        <x:v>原則不可</x:v>
      </x:c>
      <x:c r="H59" s="56" t="n">
        <x:v>5</x:v>
      </x:c>
      <x:c r="I59" s="56" t="str">
        <x:v>男性</x:v>
      </x:c>
      <x:c r="J59" s="69" t="n">
        <x:v>35</x:v>
      </x:c>
      <x:c r="K59" s="67" t="n">
        <x:v>43556</x:v>
      </x:c>
      <x:c r="L59" s="69" t="n">
        <x:f>YEAR('施設設定'!$B$6)-YEAR(K59)-IF(MONTH('施設設定'!$B$6)*100+DAY('施設設定'!$B$6)&lt;MONTH(K59)*100+DAY(K59),1,0)</x:f>
        <x:v>7</x:v>
      </x:c>
      <x:c r="M59" s="56" t="str">
        <x:v>可</x:v>
      </x:c>
      <x:c r="N59" s="56" t="str">
        <x:v>早・日・遅・夜</x:v>
      </x:c>
      <x:c r="O59" s="56" t="n">
        <x:v>40</x:v>
      </x:c>
      <x:c r="P59" s="56"/>
      <x:c r="Q59" s="56" t="n">
        <x:f>'施設設定'!$B$9</x:f>
        <x:v>111</x:v>
      </x:c>
      <x:c r="R59" s="56" t="str">
        <x:v>既存サンプル</x:v>
      </x:c>
      <x:c r="S59" s="56" t="n">
        <x:v>0</x:v>
      </x:c>
    </x:row>
    <x:row r="60" ht="25" customHeight="1">
      <x:c r="A60" s="64" t="str">
        <x:v>3F-07</x:v>
      </x:c>
      <x:c r="B60" s="64" t="str">
        <x:v>3F</x:v>
      </x:c>
      <x:c r="C60" s="63" t="str">
        <x:v>常勤</x:v>
      </x:c>
      <x:c r="D60" s="63" t="str">
        <x:v>介護福祉士</x:v>
      </x:c>
      <x:c r="E60" s="63" t="str">
        <x:v>中堅</x:v>
      </x:c>
      <x:c r="F60" s="63" t="str">
        <x:v>可</x:v>
      </x:c>
      <x:c r="G60" s="63" t="str">
        <x:v>原則不可</x:v>
      </x:c>
      <x:c r="H60" s="63" t="n">
        <x:v>5</x:v>
      </x:c>
      <x:c r="I60" s="63" t="str">
        <x:v>女性</x:v>
      </x:c>
      <x:c r="J60" s="68" t="n">
        <x:v>42</x:v>
      </x:c>
      <x:c r="K60" s="66" t="n">
        <x:v>43191</x:v>
      </x:c>
      <x:c r="L60" s="68" t="n">
        <x:f>YEAR('施設設定'!$B$6)-YEAR(K60)-IF(MONTH('施設設定'!$B$6)*100+DAY('施設設定'!$B$6)&lt;MONTH(K60)*100+DAY(K60),1,0)</x:f>
        <x:v>8</x:v>
      </x:c>
      <x:c r="M60" s="63" t="str">
        <x:v>不可</x:v>
      </x:c>
      <x:c r="N60" s="63" t="str">
        <x:v>早・日・遅・夜</x:v>
      </x:c>
      <x:c r="O60" s="63" t="n">
        <x:v>40</x:v>
      </x:c>
      <x:c r="P60" s="63"/>
      <x:c r="Q60" s="63" t="n">
        <x:f>'施設設定'!$B$9</x:f>
        <x:v>111</x:v>
      </x:c>
      <x:c r="R60" s="63" t="str">
        <x:v>既存サンプル</x:v>
      </x:c>
      <x:c r="S60" s="63" t="n">
        <x:v>0</x:v>
      </x:c>
    </x:row>
    <x:row r="61" ht="25" customHeight="1">
      <x:c r="A61" s="65" t="str">
        <x:v>3F-08</x:v>
      </x:c>
      <x:c r="B61" s="65" t="str">
        <x:v>3F</x:v>
      </x:c>
      <x:c r="C61" s="56" t="str">
        <x:v>常勤</x:v>
      </x:c>
      <x:c r="D61" s="56" t="str">
        <x:v>介護福祉士</x:v>
      </x:c>
      <x:c r="E61" s="56" t="str">
        <x:v>中堅</x:v>
      </x:c>
      <x:c r="F61" s="56" t="str">
        <x:v>可</x:v>
      </x:c>
      <x:c r="G61" s="56" t="str">
        <x:v>原則不可</x:v>
      </x:c>
      <x:c r="H61" s="56" t="n">
        <x:v>5</x:v>
      </x:c>
      <x:c r="I61" s="56" t="str">
        <x:v>男性</x:v>
      </x:c>
      <x:c r="J61" s="69" t="n">
        <x:v>49</x:v>
      </x:c>
      <x:c r="K61" s="67" t="n">
        <x:v>42826</x:v>
      </x:c>
      <x:c r="L61" s="69" t="n">
        <x:f>YEAR('施設設定'!$B$6)-YEAR(K61)-IF(MONTH('施設設定'!$B$6)*100+DAY('施設設定'!$B$6)&lt;MONTH(K61)*100+DAY(K61),1,0)</x:f>
        <x:v>9</x:v>
      </x:c>
      <x:c r="M61" s="56" t="str">
        <x:v>不可</x:v>
      </x:c>
      <x:c r="N61" s="56" t="str">
        <x:v>早・日・遅・夜</x:v>
      </x:c>
      <x:c r="O61" s="56" t="n">
        <x:v>40</x:v>
      </x:c>
      <x:c r="P61" s="56"/>
      <x:c r="Q61" s="56" t="n">
        <x:f>'施設設定'!$B$9</x:f>
        <x:v>111</x:v>
      </x:c>
      <x:c r="R61" s="56" t="str">
        <x:v>既存サンプル</x:v>
      </x:c>
      <x:c r="S61" s="56" t="n">
        <x:v>0</x:v>
      </x:c>
    </x:row>
    <x:row r="62" ht="25" customHeight="1">
      <x:c r="A62" s="64" t="str">
        <x:v>3F-09</x:v>
      </x:c>
      <x:c r="B62" s="64" t="str">
        <x:v>3F</x:v>
      </x:c>
      <x:c r="C62" s="63" t="str">
        <x:v>常勤</x:v>
      </x:c>
      <x:c r="D62" s="63" t="str">
        <x:v>介護福祉士</x:v>
      </x:c>
      <x:c r="E62" s="63" t="str">
        <x:v>中堅</x:v>
      </x:c>
      <x:c r="F62" s="63" t="str">
        <x:v>可</x:v>
      </x:c>
      <x:c r="G62" s="63" t="str">
        <x:v>原則不可</x:v>
      </x:c>
      <x:c r="H62" s="63" t="n">
        <x:v>5</x:v>
      </x:c>
      <x:c r="I62" s="63" t="str">
        <x:v>女性</x:v>
      </x:c>
      <x:c r="J62" s="68" t="n">
        <x:v>56</x:v>
      </x:c>
      <x:c r="K62" s="66" t="n">
        <x:v>42461</x:v>
      </x:c>
      <x:c r="L62" s="68" t="n">
        <x:f>YEAR('施設設定'!$B$6)-YEAR(K62)-IF(MONTH('施設設定'!$B$6)*100+DAY('施設設定'!$B$6)&lt;MONTH(K62)*100+DAY(K62),1,0)</x:f>
        <x:v>10</x:v>
      </x:c>
      <x:c r="M62" s="63" t="str">
        <x:v>不可</x:v>
      </x:c>
      <x:c r="N62" s="63" t="str">
        <x:v>早・日・遅・夜</x:v>
      </x:c>
      <x:c r="O62" s="63" t="n">
        <x:v>40</x:v>
      </x:c>
      <x:c r="P62" s="63"/>
      <x:c r="Q62" s="63" t="n">
        <x:f>'施設設定'!$B$9</x:f>
        <x:v>111</x:v>
      </x:c>
      <x:c r="R62" s="63" t="str">
        <x:v>既存サンプル</x:v>
      </x:c>
      <x:c r="S62" s="63" t="n">
        <x:v>0</x:v>
      </x:c>
    </x:row>
    <x:row r="63" ht="25" customHeight="1">
      <x:c r="A63" s="65" t="str">
        <x:v>3F-10</x:v>
      </x:c>
      <x:c r="B63" s="65" t="str">
        <x:v>3F</x:v>
      </x:c>
      <x:c r="C63" s="56" t="str">
        <x:v>常勤</x:v>
      </x:c>
      <x:c r="D63" s="56" t="str">
        <x:v>介護福祉士</x:v>
      </x:c>
      <x:c r="E63" s="56" t="str">
        <x:v>中堅</x:v>
      </x:c>
      <x:c r="F63" s="56" t="str">
        <x:v>可</x:v>
      </x:c>
      <x:c r="G63" s="56" t="str">
        <x:v>原則不可</x:v>
      </x:c>
      <x:c r="H63" s="56" t="n">
        <x:v>5</x:v>
      </x:c>
      <x:c r="I63" s="56" t="str">
        <x:v>男性</x:v>
      </x:c>
      <x:c r="J63" s="69" t="n">
        <x:v>63</x:v>
      </x:c>
      <x:c r="K63" s="67" t="n">
        <x:v>42095</x:v>
      </x:c>
      <x:c r="L63" s="69" t="n">
        <x:f>YEAR('施設設定'!$B$6)-YEAR(K63)-IF(MONTH('施設設定'!$B$6)*100+DAY('施設設定'!$B$6)&lt;MONTH(K63)*100+DAY(K63),1,0)</x:f>
        <x:v>11</x:v>
      </x:c>
      <x:c r="M63" s="56" t="str">
        <x:v>不可</x:v>
      </x:c>
      <x:c r="N63" s="56" t="str">
        <x:v>早・日・遅・夜</x:v>
      </x:c>
      <x:c r="O63" s="56" t="n">
        <x:v>40</x:v>
      </x:c>
      <x:c r="P63" s="56"/>
      <x:c r="Q63" s="56" t="n">
        <x:f>'施設設定'!$B$9</x:f>
        <x:v>111</x:v>
      </x:c>
      <x:c r="R63" s="56" t="str">
        <x:v>既存サンプル</x:v>
      </x:c>
      <x:c r="S63" s="56" t="n">
        <x:v>0</x:v>
      </x:c>
    </x:row>
    <x:row r="64" ht="25" customHeight="1">
      <x:c r="A64" s="64" t="str">
        <x:v>3F-11</x:v>
      </x:c>
      <x:c r="B64" s="64" t="str">
        <x:v>3F</x:v>
      </x:c>
      <x:c r="C64" s="63" t="str">
        <x:v>常勤</x:v>
      </x:c>
      <x:c r="D64" s="63" t="str">
        <x:v>実務者研修</x:v>
      </x:c>
      <x:c r="E64" s="63" t="str">
        <x:v>中堅</x:v>
      </x:c>
      <x:c r="F64" s="63" t="str">
        <x:v>可</x:v>
      </x:c>
      <x:c r="G64" s="63" t="str">
        <x:v>原則不可</x:v>
      </x:c>
      <x:c r="H64" s="63" t="n">
        <x:v>5</x:v>
      </x:c>
      <x:c r="I64" s="63" t="str">
        <x:v>女性</x:v>
      </x:c>
      <x:c r="J64" s="68" t="n">
        <x:v>30</x:v>
      </x:c>
      <x:c r="K64" s="66" t="n">
        <x:v>42461</x:v>
      </x:c>
      <x:c r="L64" s="68" t="n">
        <x:f>YEAR('施設設定'!$B$6)-YEAR(K64)-IF(MONTH('施設設定'!$B$6)*100+DAY('施設設定'!$B$6)&lt;MONTH(K64)*100+DAY(K64),1,0)</x:f>
        <x:v>10</x:v>
      </x:c>
      <x:c r="M64" s="63" t="str">
        <x:v>不可</x:v>
      </x:c>
      <x:c r="N64" s="63" t="str">
        <x:v>早・日・遅・夜</x:v>
      </x:c>
      <x:c r="O64" s="63" t="n">
        <x:v>40</x:v>
      </x:c>
      <x:c r="P64" s="63"/>
      <x:c r="Q64" s="63" t="n">
        <x:f>'施設設定'!$B$9</x:f>
        <x:v>111</x:v>
      </x:c>
      <x:c r="R64" s="63" t="str">
        <x:v>既存サンプル</x:v>
      </x:c>
      <x:c r="S64" s="63" t="n">
        <x:v>0</x:v>
      </x:c>
    </x:row>
    <x:row r="65" ht="25" customHeight="1">
      <x:c r="A65" s="65" t="str">
        <x:v>3F-12</x:v>
      </x:c>
      <x:c r="B65" s="65" t="str">
        <x:v>3F</x:v>
      </x:c>
      <x:c r="C65" s="56" t="str">
        <x:v>常勤</x:v>
      </x:c>
      <x:c r="D65" s="56" t="str">
        <x:v>実務者研修</x:v>
      </x:c>
      <x:c r="E65" s="56" t="str">
        <x:v>中堅</x:v>
      </x:c>
      <x:c r="F65" s="56" t="str">
        <x:v>可</x:v>
      </x:c>
      <x:c r="G65" s="56" t="str">
        <x:v>原則不可</x:v>
      </x:c>
      <x:c r="H65" s="56" t="n">
        <x:v>5</x:v>
      </x:c>
      <x:c r="I65" s="56" t="str">
        <x:v>男性</x:v>
      </x:c>
      <x:c r="J65" s="69" t="n">
        <x:v>37</x:v>
      </x:c>
      <x:c r="K65" s="67" t="n">
        <x:v>45748</x:v>
      </x:c>
      <x:c r="L65" s="69" t="n">
        <x:f>YEAR('施設設定'!$B$6)-YEAR(K65)-IF(MONTH('施設設定'!$B$6)*100+DAY('施設設定'!$B$6)&lt;MONTH(K65)*100+DAY(K65),1,0)</x:f>
        <x:v>1</x:v>
      </x:c>
      <x:c r="M65" s="56" t="str">
        <x:v>不可</x:v>
      </x:c>
      <x:c r="N65" s="56" t="str">
        <x:v>早・日・遅・夜</x:v>
      </x:c>
      <x:c r="O65" s="56" t="n">
        <x:v>40</x:v>
      </x:c>
      <x:c r="P65" s="56"/>
      <x:c r="Q65" s="56" t="n">
        <x:f>'施設設定'!$B$9</x:f>
        <x:v>111</x:v>
      </x:c>
      <x:c r="R65" s="56" t="str">
        <x:v>既存サンプル</x:v>
      </x:c>
      <x:c r="S65" s="56" t="n">
        <x:v>0</x:v>
      </x:c>
    </x:row>
    <x:row r="66" ht="25" customHeight="1">
      <x:c r="A66" s="64" t="str">
        <x:v>3F-13</x:v>
      </x:c>
      <x:c r="B66" s="64" t="str">
        <x:v>3F</x:v>
      </x:c>
      <x:c r="C66" s="63" t="str">
        <x:v>常勤</x:v>
      </x:c>
      <x:c r="D66" s="63" t="str">
        <x:v>実務者研修</x:v>
      </x:c>
      <x:c r="E66" s="63" t="str">
        <x:v>中堅</x:v>
      </x:c>
      <x:c r="F66" s="63" t="str">
        <x:v>可</x:v>
      </x:c>
      <x:c r="G66" s="63" t="str">
        <x:v>原則不可</x:v>
      </x:c>
      <x:c r="H66" s="63" t="n">
        <x:v>5</x:v>
      </x:c>
      <x:c r="I66" s="63" t="str">
        <x:v>女性</x:v>
      </x:c>
      <x:c r="J66" s="68" t="n">
        <x:v>44</x:v>
      </x:c>
      <x:c r="K66" s="66" t="n">
        <x:v>45383</x:v>
      </x:c>
      <x:c r="L66" s="68" t="n">
        <x:f>YEAR('施設設定'!$B$6)-YEAR(K66)-IF(MONTH('施設設定'!$B$6)*100+DAY('施設設定'!$B$6)&lt;MONTH(K66)*100+DAY(K66),1,0)</x:f>
        <x:v>2</x:v>
      </x:c>
      <x:c r="M66" s="63" t="str">
        <x:v>不可</x:v>
      </x:c>
      <x:c r="N66" s="63" t="str">
        <x:v>早・日・遅・夜</x:v>
      </x:c>
      <x:c r="O66" s="63" t="n">
        <x:v>40</x:v>
      </x:c>
      <x:c r="P66" s="63"/>
      <x:c r="Q66" s="63" t="n">
        <x:f>'施設設定'!$B$9</x:f>
        <x:v>111</x:v>
      </x:c>
      <x:c r="R66" s="63" t="str">
        <x:v>既存サンプル</x:v>
      </x:c>
      <x:c r="S66" s="63" t="n">
        <x:v>0</x:v>
      </x:c>
    </x:row>
    <x:row r="67" ht="25" customHeight="1">
      <x:c r="A67" s="65" t="str">
        <x:v>3F-14</x:v>
      </x:c>
      <x:c r="B67" s="65" t="str">
        <x:v>3F</x:v>
      </x:c>
      <x:c r="C67" s="56" t="str">
        <x:v>常勤</x:v>
      </x:c>
      <x:c r="D67" s="56" t="str">
        <x:v>実務者研修</x:v>
      </x:c>
      <x:c r="E67" s="56" t="str">
        <x:v>中堅</x:v>
      </x:c>
      <x:c r="F67" s="56" t="str">
        <x:v>可</x:v>
      </x:c>
      <x:c r="G67" s="56" t="str">
        <x:v>原則不可</x:v>
      </x:c>
      <x:c r="H67" s="56" t="n">
        <x:v>5</x:v>
      </x:c>
      <x:c r="I67" s="56" t="str">
        <x:v>男性</x:v>
      </x:c>
      <x:c r="J67" s="69" t="n">
        <x:v>51</x:v>
      </x:c>
      <x:c r="K67" s="67" t="n">
        <x:v>45017</x:v>
      </x:c>
      <x:c r="L67" s="69" t="n">
        <x:f>YEAR('施設設定'!$B$6)-YEAR(K67)-IF(MONTH('施設設定'!$B$6)*100+DAY('施設設定'!$B$6)&lt;MONTH(K67)*100+DAY(K67),1,0)</x:f>
        <x:v>3</x:v>
      </x:c>
      <x:c r="M67" s="56" t="str">
        <x:v>不可</x:v>
      </x:c>
      <x:c r="N67" s="56" t="str">
        <x:v>早・日・遅・夜</x:v>
      </x:c>
      <x:c r="O67" s="56" t="n">
        <x:v>40</x:v>
      </x:c>
      <x:c r="P67" s="56"/>
      <x:c r="Q67" s="56" t="n">
        <x:f>'施設設定'!$B$9</x:f>
        <x:v>111</x:v>
      </x:c>
      <x:c r="R67" s="56" t="str">
        <x:v>既存サンプル</x:v>
      </x:c>
      <x:c r="S67" s="56" t="n">
        <x:v>0</x:v>
      </x:c>
    </x:row>
    <x:row r="68" ht="25" customHeight="1">
      <x:c r="A68" s="64" t="str">
        <x:v>3F-15</x:v>
      </x:c>
      <x:c r="B68" s="64" t="str">
        <x:v>3F</x:v>
      </x:c>
      <x:c r="C68" s="63" t="str">
        <x:v>常勤</x:v>
      </x:c>
      <x:c r="D68" s="63" t="str">
        <x:v>実務者研修</x:v>
      </x:c>
      <x:c r="E68" s="63" t="str">
        <x:v>新人</x:v>
      </x:c>
      <x:c r="F68" s="63" t="str">
        <x:v>不可</x:v>
      </x:c>
      <x:c r="G68" s="63" t="str">
        <x:v>原則不可</x:v>
      </x:c>
      <x:c r="H68" s="63" t="n">
        <x:v>0</x:v>
      </x:c>
      <x:c r="I68" s="63" t="str">
        <x:v>女性</x:v>
      </x:c>
      <x:c r="J68" s="68" t="n">
        <x:v>58</x:v>
      </x:c>
      <x:c r="K68" s="66" t="n">
        <x:v>44652</x:v>
      </x:c>
      <x:c r="L68" s="68" t="n">
        <x:f>YEAR('施設設定'!$B$6)-YEAR(K68)-IF(MONTH('施設設定'!$B$6)*100+DAY('施設設定'!$B$6)&lt;MONTH(K68)*100+DAY(K68),1,0)</x:f>
        <x:v>4</x:v>
      </x:c>
      <x:c r="M68" s="63" t="str">
        <x:v>不可</x:v>
      </x:c>
      <x:c r="N68" s="63" t="str">
        <x:v>早・日・遅</x:v>
      </x:c>
      <x:c r="O68" s="63" t="n">
        <x:v>40</x:v>
      </x:c>
      <x:c r="P68" s="63"/>
      <x:c r="Q68" s="63" t="n">
        <x:f>'施設設定'!$B$9</x:f>
        <x:v>111</x:v>
      </x:c>
      <x:c r="R68" s="63" t="str">
        <x:v>既存サンプル</x:v>
      </x:c>
      <x:c r="S68" s="63" t="n">
        <x:v>0</x:v>
      </x:c>
    </x:row>
    <x:row r="69" ht="25" customHeight="1">
      <x:c r="A69" s="65" t="str">
        <x:v>3F-16</x:v>
      </x:c>
      <x:c r="B69" s="65" t="str">
        <x:v>3F</x:v>
      </x:c>
      <x:c r="C69" s="56" t="str">
        <x:v>常勤</x:v>
      </x:c>
      <x:c r="D69" s="56" t="str">
        <x:v>初任者研修</x:v>
      </x:c>
      <x:c r="E69" s="56" t="str">
        <x:v>新人</x:v>
      </x:c>
      <x:c r="F69" s="56" t="str">
        <x:v>不可</x:v>
      </x:c>
      <x:c r="G69" s="56" t="str">
        <x:v>原則不可</x:v>
      </x:c>
      <x:c r="H69" s="56" t="n">
        <x:v>0</x:v>
      </x:c>
      <x:c r="I69" s="56" t="str">
        <x:v>男性</x:v>
      </x:c>
      <x:c r="J69" s="69" t="n">
        <x:v>25</x:v>
      </x:c>
      <x:c r="K69" s="67" t="n">
        <x:v>44287</x:v>
      </x:c>
      <x:c r="L69" s="69" t="n">
        <x:f>YEAR('施設設定'!$B$6)-YEAR(K69)-IF(MONTH('施設設定'!$B$6)*100+DAY('施設設定'!$B$6)&lt;MONTH(K69)*100+DAY(K69),1,0)</x:f>
        <x:v>5</x:v>
      </x:c>
      <x:c r="M69" s="56" t="str">
        <x:v>不可</x:v>
      </x:c>
      <x:c r="N69" s="56" t="str">
        <x:v>早・日・遅</x:v>
      </x:c>
      <x:c r="O69" s="56" t="n">
        <x:v>40</x:v>
      </x:c>
      <x:c r="P69" s="56"/>
      <x:c r="Q69" s="56" t="n">
        <x:f>'施設設定'!$B$9</x:f>
        <x:v>111</x:v>
      </x:c>
      <x:c r="R69" s="56" t="str">
        <x:v>既存サンプル</x:v>
      </x:c>
      <x:c r="S69" s="56" t="n">
        <x:v>0</x:v>
      </x:c>
    </x:row>
    <x:row r="70" ht="25" customHeight="1">
      <x:c r="A70" s="64" t="str">
        <x:v>3F-17</x:v>
      </x:c>
      <x:c r="B70" s="64" t="str">
        <x:v>3F</x:v>
      </x:c>
      <x:c r="C70" s="63" t="str">
        <x:v>非常勤</x:v>
      </x:c>
      <x:c r="D70" s="63" t="str">
        <x:v>初任者研修</x:v>
      </x:c>
      <x:c r="E70" s="63" t="str">
        <x:v>新人</x:v>
      </x:c>
      <x:c r="F70" s="63" t="str">
        <x:v>不可</x:v>
      </x:c>
      <x:c r="G70" s="63" t="str">
        <x:v>原則不可</x:v>
      </x:c>
      <x:c r="H70" s="63" t="n">
        <x:v>0</x:v>
      </x:c>
      <x:c r="I70" s="63" t="str">
        <x:v>女性</x:v>
      </x:c>
      <x:c r="J70" s="68" t="n">
        <x:v>32</x:v>
      </x:c>
      <x:c r="K70" s="66" t="n">
        <x:v>43922</x:v>
      </x:c>
      <x:c r="L70" s="68" t="n">
        <x:f>YEAR('施設設定'!$B$6)-YEAR(K70)-IF(MONTH('施設設定'!$B$6)*100+DAY('施設設定'!$B$6)&lt;MONTH(K70)*100+DAY(K70),1,0)</x:f>
        <x:v>6</x:v>
      </x:c>
      <x:c r="M70" s="63" t="str">
        <x:v>不可</x:v>
      </x:c>
      <x:c r="N70" s="63" t="str">
        <x:v>午</x:v>
      </x:c>
      <x:c r="O70" s="63" t="n">
        <x:v>12</x:v>
      </x:c>
      <x:c r="P70" s="63" t="n">
        <x:v>3</x:v>
      </x:c>
      <x:c r="Q70" s="63"/>
      <x:c r="R70" s="63" t="str">
        <x:v>既存サンプル</x:v>
      </x:c>
      <x:c r="S70" s="63" t="n">
        <x:v>0</x:v>
      </x:c>
    </x:row>
    <x:row r="71" ht="25" customHeight="1">
      <x:c r="A71" s="65" t="str">
        <x:v>3F-18</x:v>
      </x:c>
      <x:c r="B71" s="65" t="str">
        <x:v>3F</x:v>
      </x:c>
      <x:c r="C71" s="56" t="str">
        <x:v>非常勤</x:v>
      </x:c>
      <x:c r="D71" s="56" t="str">
        <x:v>初任者研修</x:v>
      </x:c>
      <x:c r="E71" s="56" t="str">
        <x:v>新人</x:v>
      </x:c>
      <x:c r="F71" s="56" t="str">
        <x:v>不可</x:v>
      </x:c>
      <x:c r="G71" s="56" t="str">
        <x:v>原則不可</x:v>
      </x:c>
      <x:c r="H71" s="56" t="n">
        <x:v>0</x:v>
      </x:c>
      <x:c r="I71" s="56" t="str">
        <x:v>男性</x:v>
      </x:c>
      <x:c r="J71" s="69" t="n">
        <x:v>39</x:v>
      </x:c>
      <x:c r="K71" s="67" t="n">
        <x:v>43556</x:v>
      </x:c>
      <x:c r="L71" s="69" t="n">
        <x:f>YEAR('施設設定'!$B$6)-YEAR(K71)-IF(MONTH('施設設定'!$B$6)*100+DAY('施設設定'!$B$6)&lt;MONTH(K71)*100+DAY(K71),1,0)</x:f>
        <x:v>7</x:v>
      </x:c>
      <x:c r="M71" s="56" t="str">
        <x:v>不可</x:v>
      </x:c>
      <x:c r="N71" s="56" t="str">
        <x:v>後</x:v>
      </x:c>
      <x:c r="O71" s="56" t="n">
        <x:v>12</x:v>
      </x:c>
      <x:c r="P71" s="56" t="n">
        <x:v>3</x:v>
      </x:c>
      <x:c r="Q71" s="56"/>
      <x:c r="R71" s="56" t="str">
        <x:v>既存サンプル</x:v>
      </x:c>
      <x:c r="S71" s="56" t="n">
        <x:v>0</x:v>
      </x:c>
    </x:row>
    <x:row r="72" ht="25" customHeight="1">
      <x:c r="A72" s="64" t="str">
        <x:v>3F-19</x:v>
      </x:c>
      <x:c r="B72" s="64" t="str">
        <x:v>3F</x:v>
      </x:c>
      <x:c r="C72" s="63" t="str">
        <x:v>非常勤</x:v>
      </x:c>
      <x:c r="D72" s="63" t="str">
        <x:v>初任者研修</x:v>
      </x:c>
      <x:c r="E72" s="63" t="str">
        <x:v>新人</x:v>
      </x:c>
      <x:c r="F72" s="63" t="str">
        <x:v>不可</x:v>
      </x:c>
      <x:c r="G72" s="63" t="str">
        <x:v>原則不可</x:v>
      </x:c>
      <x:c r="H72" s="63" t="n">
        <x:v>0</x:v>
      </x:c>
      <x:c r="I72" s="63" t="str">
        <x:v>女性</x:v>
      </x:c>
      <x:c r="J72" s="68" t="n">
        <x:v>46</x:v>
      </x:c>
      <x:c r="K72" s="66" t="n">
        <x:v>43191</x:v>
      </x:c>
      <x:c r="L72" s="68" t="n">
        <x:f>YEAR('施設設定'!$B$6)-YEAR(K72)-IF(MONTH('施設設定'!$B$6)*100+DAY('施設設定'!$B$6)&lt;MONTH(K72)*100+DAY(K72),1,0)</x:f>
        <x:v>8</x:v>
      </x:c>
      <x:c r="M72" s="63" t="str">
        <x:v>不可</x:v>
      </x:c>
      <x:c r="N72" s="63" t="str">
        <x:v>午</x:v>
      </x:c>
      <x:c r="O72" s="63" t="n">
        <x:v>12</x:v>
      </x:c>
      <x:c r="P72" s="63" t="n">
        <x:v>3</x:v>
      </x:c>
      <x:c r="Q72" s="63"/>
      <x:c r="R72" s="63" t="str">
        <x:v>既存サンプル</x:v>
      </x:c>
      <x:c r="S72" s="63" t="n">
        <x:v>0</x:v>
      </x:c>
    </x:row>
    <x:row r="73" ht="25" customHeight="1">
      <x:c r="A73" s="65" t="str">
        <x:v>3F-20</x:v>
      </x:c>
      <x:c r="B73" s="65" t="str">
        <x:v>3F</x:v>
      </x:c>
      <x:c r="C73" s="56" t="str">
        <x:v>非常勤</x:v>
      </x:c>
      <x:c r="D73" s="56" t="str">
        <x:v>初任者研修</x:v>
      </x:c>
      <x:c r="E73" s="56" t="str">
        <x:v>新人</x:v>
      </x:c>
      <x:c r="F73" s="56" t="str">
        <x:v>不可</x:v>
      </x:c>
      <x:c r="G73" s="56" t="str">
        <x:v>原則不可</x:v>
      </x:c>
      <x:c r="H73" s="56" t="n">
        <x:v>0</x:v>
      </x:c>
      <x:c r="I73" s="56" t="str">
        <x:v>男性</x:v>
      </x:c>
      <x:c r="J73" s="69" t="n">
        <x:v>53</x:v>
      </x:c>
      <x:c r="K73" s="67" t="n">
        <x:v>42826</x:v>
      </x:c>
      <x:c r="L73" s="69" t="n">
        <x:f>YEAR('施設設定'!$B$6)-YEAR(K73)-IF(MONTH('施設設定'!$B$6)*100+DAY('施設設定'!$B$6)&lt;MONTH(K73)*100+DAY(K73),1,0)</x:f>
        <x:v>9</x:v>
      </x:c>
      <x:c r="M73" s="56" t="str">
        <x:v>不可</x:v>
      </x:c>
      <x:c r="N73" s="56" t="str">
        <x:v>後</x:v>
      </x:c>
      <x:c r="O73" s="56" t="n">
        <x:v>12</x:v>
      </x:c>
      <x:c r="P73" s="56" t="n">
        <x:v>3</x:v>
      </x:c>
      <x:c r="Q73" s="56"/>
      <x:c r="R73" s="56" t="str">
        <x:v>既存サンプル</x:v>
      </x:c>
      <x:c r="S73" s="56" t="n">
        <x:v>0</x:v>
      </x:c>
    </x:row>
    <x:row r="74" ht="25" customHeight="1">
      <x:c r="A74" s="64" t="str">
        <x:v>3F-21</x:v>
      </x:c>
      <x:c r="B74" s="64" t="str">
        <x:v>3F</x:v>
      </x:c>
      <x:c r="C74" s="63" t="str">
        <x:v>非常勤</x:v>
      </x:c>
      <x:c r="D74" s="63" t="str">
        <x:v>初任者研修</x:v>
      </x:c>
      <x:c r="E74" s="63" t="str">
        <x:v>新人</x:v>
      </x:c>
      <x:c r="F74" s="63" t="str">
        <x:v>不可</x:v>
      </x:c>
      <x:c r="G74" s="63" t="str">
        <x:v>原則不可</x:v>
      </x:c>
      <x:c r="H74" s="63" t="n">
        <x:v>0</x:v>
      </x:c>
      <x:c r="I74" s="63" t="str">
        <x:v>女性</x:v>
      </x:c>
      <x:c r="J74" s="68" t="n">
        <x:v>60</x:v>
      </x:c>
      <x:c r="K74" s="66" t="n">
        <x:v>42461</x:v>
      </x:c>
      <x:c r="L74" s="68" t="n">
        <x:f>YEAR('施設設定'!$B$6)-YEAR(K74)-IF(MONTH('施設設定'!$B$6)*100+DAY('施設設定'!$B$6)&lt;MONTH(K74)*100+DAY(K74),1,0)</x:f>
        <x:v>10</x:v>
      </x:c>
      <x:c r="M74" s="63" t="str">
        <x:v>不可</x:v>
      </x:c>
      <x:c r="N74" s="63" t="str">
        <x:v>午</x:v>
      </x:c>
      <x:c r="O74" s="63" t="n">
        <x:v>12</x:v>
      </x:c>
      <x:c r="P74" s="63" t="n">
        <x:v>3</x:v>
      </x:c>
      <x:c r="Q74" s="63"/>
      <x:c r="R74" s="63" t="str">
        <x:v>追加候補（仮）</x:v>
      </x:c>
      <x:c r="S74" s="63" t="n">
        <x:v>0</x:v>
      </x:c>
    </x:row>
    <x:row r="75" ht="25" customHeight="1">
      <x:c r="A75" s="65" t="str">
        <x:v>3F-22</x:v>
      </x:c>
      <x:c r="B75" s="65" t="str">
        <x:v>3F</x:v>
      </x:c>
      <x:c r="C75" s="56" t="str">
        <x:v>非常勤</x:v>
      </x:c>
      <x:c r="D75" s="56" t="str">
        <x:v>初任者研修</x:v>
      </x:c>
      <x:c r="E75" s="56" t="str">
        <x:v>新人</x:v>
      </x:c>
      <x:c r="F75" s="56" t="str">
        <x:v>不可</x:v>
      </x:c>
      <x:c r="G75" s="56" t="str">
        <x:v>原則不可</x:v>
      </x:c>
      <x:c r="H75" s="56" t="n">
        <x:v>0</x:v>
      </x:c>
      <x:c r="I75" s="56" t="str">
        <x:v>男性</x:v>
      </x:c>
      <x:c r="J75" s="69" t="n">
        <x:v>27</x:v>
      </x:c>
      <x:c r="K75" s="67" t="n">
        <x:v>43556</x:v>
      </x:c>
      <x:c r="L75" s="69" t="n">
        <x:f>YEAR('施設設定'!$B$6)-YEAR(K75)-IF(MONTH('施設設定'!$B$6)*100+DAY('施設設定'!$B$6)&lt;MONTH(K75)*100+DAY(K75),1,0)</x:f>
        <x:v>7</x:v>
      </x:c>
      <x:c r="M75" s="56" t="str">
        <x:v>不可</x:v>
      </x:c>
      <x:c r="N75" s="56" t="str">
        <x:v>後</x:v>
      </x:c>
      <x:c r="O75" s="56" t="n">
        <x:v>12</x:v>
      </x:c>
      <x:c r="P75" s="56" t="n">
        <x:v>3</x:v>
      </x:c>
      <x:c r="Q75" s="56"/>
      <x:c r="R75" s="56" t="str">
        <x:v>追加候補（仮）</x:v>
      </x:c>
      <x:c r="S75" s="56" t="n">
        <x:v>0</x:v>
      </x:c>
    </x:row>
    <x:row r="76" ht="25" customHeight="1">
      <x:c r="A76" s="64" t="str">
        <x:v>3F-23</x:v>
      </x:c>
      <x:c r="B76" s="64" t="str">
        <x:v>3F</x:v>
      </x:c>
      <x:c r="C76" s="63" t="str">
        <x:v>非常勤</x:v>
      </x:c>
      <x:c r="D76" s="63" t="str">
        <x:v>介護福祉士</x:v>
      </x:c>
      <x:c r="E76" s="63" t="str">
        <x:v>中堅</x:v>
      </x:c>
      <x:c r="F76" s="63" t="str">
        <x:v>不可</x:v>
      </x:c>
      <x:c r="G76" s="63" t="str">
        <x:v>可</x:v>
      </x:c>
      <x:c r="H76" s="63" t="n">
        <x:v>0</x:v>
      </x:c>
      <x:c r="I76" s="63" t="str">
        <x:v>女性</x:v>
      </x:c>
      <x:c r="J76" s="68" t="n">
        <x:v>34</x:v>
      </x:c>
      <x:c r="K76" s="66" t="n">
        <x:v>41730</x:v>
      </x:c>
      <x:c r="L76" s="68" t="n">
        <x:f>YEAR('施設設定'!$B$6)-YEAR(K76)-IF(MONTH('施設設定'!$B$6)*100+DAY('施設設定'!$B$6)&lt;MONTH(K76)*100+DAY(K76),1,0)</x:f>
        <x:v>12</x:v>
      </x:c>
      <x:c r="M76" s="63" t="str">
        <x:v>不可</x:v>
      </x:c>
      <x:c r="N76" s="63" t="str">
        <x:v>短A</x:v>
      </x:c>
      <x:c r="O76" s="63" t="n">
        <x:v>9</x:v>
      </x:c>
      <x:c r="P76" s="63" t="n">
        <x:v>3</x:v>
      </x:c>
      <x:c r="Q76" s="63"/>
      <x:c r="R76" s="63" t="str">
        <x:v>追加候補（仮）</x:v>
      </x:c>
      <x:c r="S76" s="63" t="n">
        <x:v>13</x:v>
      </x:c>
    </x:row>
    <x:row r="77" ht="25" customHeight="1">
      <x:c r="A77" s="65" t="str">
        <x:v>3F-24</x:v>
      </x:c>
      <x:c r="B77" s="65" t="str">
        <x:v>3F</x:v>
      </x:c>
      <x:c r="C77" s="56" t="str">
        <x:v>非常勤</x:v>
      </x:c>
      <x:c r="D77" s="56" t="str">
        <x:v>介護福祉士</x:v>
      </x:c>
      <x:c r="E77" s="56" t="str">
        <x:v>中堅</x:v>
      </x:c>
      <x:c r="F77" s="56" t="str">
        <x:v>不可</x:v>
      </x:c>
      <x:c r="G77" s="56" t="str">
        <x:v>可</x:v>
      </x:c>
      <x:c r="H77" s="56" t="n">
        <x:v>0</x:v>
      </x:c>
      <x:c r="I77" s="56" t="str">
        <x:v>男性</x:v>
      </x:c>
      <x:c r="J77" s="69" t="n">
        <x:v>41</x:v>
      </x:c>
      <x:c r="K77" s="67" t="n">
        <x:v>45748</x:v>
      </x:c>
      <x:c r="L77" s="69" t="n">
        <x:f>YEAR('施設設定'!$B$6)-YEAR(K77)-IF(MONTH('施設設定'!$B$6)*100+DAY('施設設定'!$B$6)&lt;MONTH(K77)*100+DAY(K77),1,0)</x:f>
        <x:v>1</x:v>
      </x:c>
      <x:c r="M77" s="56" t="str">
        <x:v>不可</x:v>
      </x:c>
      <x:c r="N77" s="56" t="str">
        <x:v>短B</x:v>
      </x:c>
      <x:c r="O77" s="56" t="n">
        <x:v>9</x:v>
      </x:c>
      <x:c r="P77" s="56" t="n">
        <x:v>3</x:v>
      </x:c>
      <x:c r="Q77" s="56"/>
      <x:c r="R77" s="56" t="str">
        <x:v>追加候補（仮）</x:v>
      </x:c>
      <x:c r="S77" s="56" t="n">
        <x:v>13</x:v>
      </x:c>
    </x:row>
    <x:row r="78" ht="25" customHeight="1">
      <x:c r="A78" s="56"/>
      <x:c r="B78" s="56"/>
      <x:c r="C78" s="56"/>
      <x:c r="D78" s="56"/>
      <x:c r="E78" s="56"/>
      <x:c r="F78" s="56"/>
      <x:c r="G78" s="56"/>
      <x:c r="H78" s="56"/>
      <x:c r="I78" s="56"/>
      <x:c r="J78" s="56"/>
      <x:c r="K78" s="56"/>
      <x:c r="L78" s="56"/>
      <x:c r="M78" s="56"/>
      <x:c r="N78" s="56"/>
      <x:c r="O78" s="56"/>
      <x:c r="P78" s="56"/>
      <x:c r="Q78" s="56"/>
      <x:c r="R78" s="56"/>
      <x:c r="S78" s="56"/>
    </x:row>
  </x:sheetData>
  <x:dataValidations count="3">
    <x:dataValidation type="list" sqref="F6:F77">
      <x:formula1>"可,不可"</x:formula1>
    </x:dataValidation>
    <x:dataValidation type="list" sqref="M6:M77">
      <x:formula1>"可,不可"</x:formula1>
    </x:dataValidation>
    <x:dataValidation type="list" sqref="I6:I77">
      <x:formula1>"女性,男性,その他,未設定"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e926c6198af4ed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7" hidden="0" customWidth="1"/>
    <x:col min="3" max="3" width="34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</x:cols>
  <x:sheetData>
    <x:row r="1" ht="25" customHeight="1">
      <x:c r="A1" s="56"/>
      <x:c r="B1" s="56"/>
      <x:c r="C1" s="56"/>
      <x:c r="D1" s="56"/>
      <x:c r="E1" s="56"/>
      <x:c r="F1" s="56"/>
      <x:c r="G1" s="56"/>
      <x:c r="H1" s="56"/>
      <x:c r="I1" s="56"/>
    </x:row>
    <x:row r="2" ht="25" customHeight="1">
      <x:c r="A2" s="57" t="str">
        <x:v>施設・配置条件</x:v>
      </x:c>
      <x:c r="B2" s="56"/>
      <x:c r="C2" s="56"/>
      <x:c r="D2" s="56"/>
      <x:c r="E2" s="56"/>
      <x:c r="F2" s="56"/>
      <x:c r="G2" s="56"/>
      <x:c r="H2" s="56"/>
      <x:c r="I2" s="56"/>
    </x:row>
    <x:row r="3" ht="25" customHeight="1">
      <x:c r="A3" s="58" t="str">
        <x:v>休憩者は対応人数に含めません。人数条件はこの試作施設の設定です。</x:v>
      </x:c>
      <x:c r="B3" s="56"/>
      <x:c r="C3" s="56"/>
      <x:c r="D3" s="56"/>
      <x:c r="E3" s="56"/>
      <x:c r="F3" s="56"/>
      <x:c r="G3" s="56"/>
      <x:c r="H3" s="56"/>
      <x:c r="I3" s="56"/>
    </x:row>
    <x:row r="4" ht="25" customHeight="1">
      <x:c r="A4" s="56"/>
      <x:c r="B4" s="56"/>
      <x:c r="C4" s="56"/>
      <x:c r="D4" s="56"/>
      <x:c r="E4" s="56"/>
      <x:c r="F4" s="56"/>
      <x:c r="G4" s="56"/>
      <x:c r="H4" s="56"/>
      <x:c r="I4" s="56"/>
    </x:row>
    <x:row r="5" ht="38" customHeight="1">
      <x:c r="A5" s="62" t="str">
        <x:v>項目</x:v>
      </x:c>
      <x:c r="B5" s="62" t="str">
        <x:v>設定値</x:v>
      </x:c>
      <x:c r="C5" s="62" t="str">
        <x:v>扱い</x:v>
      </x:c>
      <x:c r="D5" s="56"/>
      <x:c r="E5" s="56"/>
      <x:c r="F5" s="56"/>
      <x:c r="G5" s="56"/>
      <x:c r="H5" s="56"/>
      <x:c r="I5" s="56"/>
    </x:row>
    <x:row r="6" ht="25" customHeight="1">
      <x:c r="A6" s="56" t="str">
        <x:v>基準日</x:v>
      </x:c>
      <x:c r="B6" s="67" t="n">
        <x:v>46295</x:v>
      </x:c>
      <x:c r="C6" s="56" t="str">
        <x:v>9月末の計画基準</x:v>
      </x:c>
      <x:c r="D6" s="56"/>
      <x:c r="E6" s="56"/>
      <x:c r="F6" s="56"/>
      <x:c r="G6" s="56"/>
      <x:c r="H6" s="56"/>
      <x:c r="I6" s="56"/>
    </x:row>
    <x:row r="7" ht="25" customHeight="1">
      <x:c r="A7" s="56" t="str">
        <x:v>作成開始</x:v>
      </x:c>
      <x:c r="B7" s="67" t="n">
        <x:v>46296</x:v>
      </x:c>
      <x:c r="C7" s="56" t="str">
        <x:v>10月分から</x:v>
      </x:c>
      <x:c r="D7" s="56"/>
      <x:c r="E7" s="56"/>
      <x:c r="F7" s="56"/>
      <x:c r="G7" s="56"/>
      <x:c r="H7" s="56"/>
      <x:c r="I7" s="56"/>
    </x:row>
    <x:row r="8" ht="25" customHeight="1">
      <x:c r="A8" s="56" t="str">
        <x:v>仮計画終了</x:v>
      </x:c>
      <x:c r="B8" s="67" t="n">
        <x:v>46477</x:v>
      </x:c>
      <x:c r="C8" s="56" t="str">
        <x:v>月次生成は未実装</x:v>
      </x:c>
      <x:c r="D8" s="56"/>
      <x:c r="E8" s="56"/>
      <x:c r="F8" s="56"/>
      <x:c r="G8" s="56"/>
      <x:c r="H8" s="56"/>
      <x:c r="I8" s="56"/>
    </x:row>
    <x:row r="9" ht="25" customHeight="1">
      <x:c r="A9" s="56" t="str">
        <x:v>常勤年間公休</x:v>
      </x:c>
      <x:c r="B9" s="70" t="n">
        <x:v>111</x:v>
      </x:c>
      <x:c r="C9" s="56" t="str">
        <x:v>仮設定・有休は別枠</x:v>
      </x:c>
      <x:c r="D9" s="56"/>
      <x:c r="E9" s="56"/>
      <x:c r="F9" s="56"/>
      <x:c r="G9" s="56"/>
      <x:c r="H9" s="56"/>
      <x:c r="I9" s="56"/>
    </x:row>
    <x:row r="10" ht="25" customHeight="1">
      <x:c r="A10" s="56" t="str">
        <x:v>夜勤食事休憩（時間）</x:v>
      </x:c>
      <x:c r="B10" s="70" t="n">
        <x:v>1</x:v>
      </x:c>
      <x:c r="C10" s="56" t="str">
        <x:v>配置枠は未作成</x:v>
      </x:c>
      <x:c r="D10" s="56"/>
      <x:c r="E10" s="56"/>
      <x:c r="F10" s="56"/>
      <x:c r="G10" s="56"/>
      <x:c r="H10" s="56"/>
      <x:c r="I10" s="56"/>
    </x:row>
    <x:row r="11" ht="25" customHeight="1">
      <x:c r="A11" s="56" t="str">
        <x:v>夜勤仮眠（時間）</x:v>
      </x:c>
      <x:c r="B11" s="70" t="n">
        <x:v>2</x:v>
      </x:c>
      <x:c r="C11" s="56" t="str">
        <x:v>連続取得の設計目標</x:v>
      </x:c>
      <x:c r="D11" s="56"/>
      <x:c r="E11" s="56"/>
      <x:c r="F11" s="56"/>
      <x:c r="G11" s="56"/>
      <x:c r="H11" s="56"/>
      <x:c r="I11" s="56"/>
    </x:row>
    <x:row r="12" ht="25" customHeight="1">
      <x:c r="A12" s="56" t="str">
        <x:v>自由な統括最低数</x:v>
      </x:c>
      <x:c r="B12" s="70" t="n">
        <x:v>1</x:v>
      </x:c>
      <x:c r="C12" s="56" t="str">
        <x:v>フロア代替担当とは別</x:v>
      </x:c>
      <x:c r="D12" s="56"/>
      <x:c r="E12" s="56"/>
      <x:c r="F12" s="56"/>
      <x:c r="G12" s="56"/>
      <x:c r="H12" s="56"/>
      <x:c r="I12" s="56"/>
    </x:row>
    <x:row r="13" ht="25" customHeight="1">
      <x:c r="A13" s="56" t="str">
        <x:v>長時間夜勤配置数</x:v>
      </x:c>
      <x:c r="B13" s="70" t="n">
        <x:v>8</x:v>
      </x:c>
      <x:c r="C13" s="56" t="str">
        <x:v>フロア6人＋統括2人</x:v>
      </x:c>
      <x:c r="D13" s="56"/>
      <x:c r="E13" s="56"/>
      <x:c r="F13" s="56"/>
      <x:c r="G13" s="56"/>
      <x:c r="H13" s="56"/>
      <x:c r="I13" s="56"/>
    </x:row>
    <x:row r="14" ht="25" customHeight="1">
      <x:c r="A14" s="56"/>
      <x:c r="B14" s="56"/>
      <x:c r="C14" s="56"/>
      <x:c r="D14" s="56"/>
      <x:c r="E14" s="56"/>
      <x:c r="F14" s="56"/>
      <x:c r="G14" s="56"/>
      <x:c r="H14" s="56"/>
      <x:c r="I14" s="56"/>
    </x:row>
    <x:row r="15" ht="25" customHeight="1">
      <x:c r="A15" s="56"/>
      <x:c r="B15" s="56"/>
      <x:c r="C15" s="56"/>
      <x:c r="D15" s="56"/>
      <x:c r="E15" s="56"/>
      <x:c r="F15" s="56"/>
      <x:c r="G15" s="56"/>
      <x:c r="H15" s="56"/>
      <x:c r="I15" s="56"/>
    </x:row>
    <x:row r="16" ht="38" customHeight="1">
      <x:c r="A16" s="62" t="str">
        <x:v>フロア</x:v>
      </x:c>
      <x:c r="B16" s="62" t="str">
        <x:v>候補職員数</x:v>
      </x:c>
      <x:c r="C16" s="62" t="str">
        <x:v>利用者定員</x:v>
      </x:c>
      <x:c r="D16" s="62" t="str">
        <x:v>早番最低</x:v>
      </x:c>
      <x:c r="E16" s="62" t="str">
        <x:v>早番目標</x:v>
      </x:c>
      <x:c r="F16" s="62" t="str">
        <x:v>遅番最低</x:v>
      </x:c>
      <x:c r="G16" s="62" t="str">
        <x:v>遅番目標</x:v>
      </x:c>
      <x:c r="H16" s="62" t="str">
        <x:v>夜間実配置最低</x:v>
      </x:c>
      <x:c r="I16" s="62" t="str">
        <x:v>日勤最低</x:v>
      </x:c>
    </x:row>
    <x:row r="17" ht="25" customHeight="1">
      <x:c r="A17" s="56" t="str">
        <x:v>1F</x:v>
      </x:c>
      <x:c r="B17" s="56" t="n">
        <x:f>COUNTIF('職員マスター'!$B$6:$B$77,A17)</x:f>
        <x:v>24</x:v>
      </x:c>
      <x:c r="C17" s="56" t="n">
        <x:v>50</x:v>
      </x:c>
      <x:c r="D17" s="70" t="n">
        <x:v>4</x:v>
      </x:c>
      <x:c r="E17" s="70" t="n">
        <x:v>5</x:v>
      </x:c>
      <x:c r="F17" s="70" t="n">
        <x:v>4</x:v>
      </x:c>
      <x:c r="G17" s="70" t="n">
        <x:v>5</x:v>
      </x:c>
      <x:c r="H17" s="70" t="n">
        <x:v>2</x:v>
      </x:c>
      <x:c r="I17" s="70" t="n">
        <x:v>0</x:v>
      </x:c>
    </x:row>
    <x:row r="18" ht="25" customHeight="1">
      <x:c r="A18" s="63" t="str">
        <x:v>2F</x:v>
      </x:c>
      <x:c r="B18" s="63" t="n">
        <x:f>COUNTIF('職員マスター'!$B$6:$B$77,A18)</x:f>
        <x:v>24</x:v>
      </x:c>
      <x:c r="C18" s="63" t="n">
        <x:v>50</x:v>
      </x:c>
      <x:c r="D18" s="70" t="n">
        <x:v>4</x:v>
      </x:c>
      <x:c r="E18" s="70" t="n">
        <x:v>5</x:v>
      </x:c>
      <x:c r="F18" s="70" t="n">
        <x:v>4</x:v>
      </x:c>
      <x:c r="G18" s="70" t="n">
        <x:v>5</x:v>
      </x:c>
      <x:c r="H18" s="70" t="n">
        <x:v>2</x:v>
      </x:c>
      <x:c r="I18" s="70" t="n">
        <x:v>0</x:v>
      </x:c>
    </x:row>
    <x:row r="19" ht="25" customHeight="1">
      <x:c r="A19" s="56" t="str">
        <x:v>3F</x:v>
      </x:c>
      <x:c r="B19" s="56" t="n">
        <x:f>COUNTIF('職員マスター'!$B$6:$B$77,A19)</x:f>
        <x:v>24</x:v>
      </x:c>
      <x:c r="C19" s="56" t="n">
        <x:v>50</x:v>
      </x:c>
      <x:c r="D19" s="70" t="n">
        <x:v>4</x:v>
      </x:c>
      <x:c r="E19" s="70" t="n">
        <x:v>5</x:v>
      </x:c>
      <x:c r="F19" s="70" t="n">
        <x:v>4</x:v>
      </x:c>
      <x:c r="G19" s="70" t="n">
        <x:v>5</x:v>
      </x:c>
      <x:c r="H19" s="70" t="n">
        <x:v>2</x:v>
      </x:c>
      <x:c r="I19" s="70" t="n">
        <x:v>0</x:v>
      </x:c>
    </x:row>
    <x:row r="20" ht="25" customHeight="1">
      <x:c r="A20" s="56" t="str">
        <x:v>合計</x:v>
      </x:c>
      <x:c r="B20" s="56" t="n">
        <x:f>SUM(B17:B19)</x:f>
        <x:v>72</x:v>
      </x:c>
      <x:c r="C20" s="56" t="n">
        <x:f>SUM(C17:C19)</x:f>
        <x:v>150</x:v>
      </x:c>
      <x:c r="D20" s="56"/>
      <x:c r="E20" s="56"/>
      <x:c r="F20" s="56"/>
      <x:c r="G20" s="56"/>
      <x:c r="H20" s="56"/>
      <x:c r="I20" s="56"/>
    </x:row>
    <x:row r="21" ht="25" customHeight="1">
      <x:c r="A21" s="56"/>
      <x:c r="B21" s="56"/>
      <x:c r="C21" s="56"/>
      <x:c r="D21" s="56"/>
      <x:c r="E21" s="56"/>
      <x:c r="F21" s="56"/>
      <x:c r="G21" s="56"/>
      <x:c r="H21" s="56"/>
      <x:c r="I21" s="56"/>
    </x:row>
    <x:row r="22" ht="25" customHeight="1">
      <x:c r="A22" s="56"/>
      <x:c r="B22" s="56"/>
      <x:c r="C22" s="56"/>
      <x:c r="D22" s="56"/>
      <x:c r="E22" s="56"/>
      <x:c r="F22" s="56"/>
      <x:c r="G22" s="56"/>
      <x:c r="H22" s="56"/>
      <x:c r="I22" s="56"/>
    </x:row>
    <x:row r="23" ht="25" customHeight="1">
      <x:c r="A23" s="56" t="str">
        <x:v>日勤・午前・午後・夜間短時間を組み合わせて検証。追加人数は必要量から調整します。</x:v>
      </x:c>
      <x:c r="B23" s="56"/>
      <x:c r="C23" s="56"/>
      <x:c r="D23" s="56"/>
      <x:c r="E23" s="56"/>
      <x:c r="F23" s="56"/>
      <x:c r="G23" s="56"/>
      <x:c r="H23" s="56"/>
      <x:c r="I23" s="56"/>
    </x:row>
    <x:row r="24" ht="25" customHeight="1">
      <x:c r="A24" s="56"/>
      <x:c r="B24" s="56"/>
      <x:c r="C24" s="56"/>
      <x:c r="D24" s="56"/>
      <x:c r="E24" s="56"/>
      <x:c r="F24" s="56"/>
      <x:c r="G24" s="56"/>
      <x:c r="H24" s="56"/>
      <x:c r="I24" s="56"/>
    </x:row>
    <x:row r="25" ht="25" customHeight="1">
      <x:c r="A25" s="56" t="str">
        <x:v>休憩中の呼び出し・待機・通常の緊急対応は割り当てません。</x:v>
      </x:c>
      <x:c r="B25" s="56"/>
      <x:c r="C25" s="56"/>
      <x:c r="D25" s="56"/>
      <x:c r="E25" s="56"/>
      <x:c r="F25" s="56"/>
      <x:c r="G25" s="56"/>
      <x:c r="H25" s="56"/>
      <x:c r="I25" s="56"/>
    </x:row>
    <x:row r="26" ht="25" customHeight="1">
      <x:c r="A26" s="56"/>
      <x:c r="B26" s="56"/>
      <x:c r="C26" s="56"/>
      <x:c r="D26" s="56"/>
      <x:c r="E26" s="56"/>
      <x:c r="F26" s="56"/>
      <x:c r="G26" s="56"/>
      <x:c r="H26" s="56"/>
      <x:c r="I26" s="56"/>
    </x:row>
    <x:row r="27" ht="25" customHeight="1">
      <x:c r="A27" s="56" t="str">
        <x:v>休暇残数・希望休は勤務とは別に管理する設計。履歴・付与日・期限の入力表は次工程です。</x:v>
      </x:c>
      <x:c r="B27" s="56"/>
      <x:c r="C27" s="56"/>
      <x:c r="D27" s="56"/>
      <x:c r="E27" s="56"/>
      <x:c r="F27" s="56"/>
      <x:c r="G27" s="56"/>
      <x:c r="H27" s="56"/>
      <x:c r="I27" s="56"/>
    </x:row>
    <x:row r="28" ht="25" customHeight="1">
      <x:c r="A28" s="56"/>
      <x:c r="B28" s="56"/>
      <x:c r="C28" s="56"/>
      <x:c r="D28" s="56"/>
      <x:c r="E28" s="56"/>
      <x:c r="F28" s="56"/>
      <x:c r="G28" s="56"/>
      <x:c r="H28" s="56"/>
      <x:c r="I28" s="56"/>
    </x:row>
    <x:row r="29" ht="25" customHeight="1">
      <x:c r="A29" s="56" t="str">
        <x:v>「明」は前日夜勤の終了日。新しい夜勤1回や公休1日として重複計上しません。</x:v>
      </x:c>
      <x:c r="B29" s="56"/>
      <x:c r="C29" s="56"/>
      <x:c r="D29" s="56"/>
      <x:c r="E29" s="56"/>
      <x:c r="F29" s="56"/>
      <x:c r="G29" s="56"/>
      <x:c r="H29" s="56"/>
      <x:c r="I29" s="56"/>
    </x:row>
    <x:row r="30" ht="25" customHeight="1">
      <x:c r="A30" s="56"/>
      <x:c r="B30" s="56"/>
      <x:c r="C30" s="56"/>
      <x:c r="D30" s="56"/>
      <x:c r="E30" s="56"/>
      <x:c r="F30" s="56"/>
      <x:c r="G30" s="56"/>
      <x:c r="H30" s="56"/>
      <x:c r="I30" s="56"/>
    </x:row>
    <x:row r="31" ht="25" customHeight="1">
      <x:c r="A31" s="56" t="str">
        <x:v>夜間短時間パートは長時間夜勤とは別の可否・上限で管理します。</x:v>
      </x:c>
      <x:c r="B31" s="56"/>
      <x:c r="C31" s="56"/>
      <x:c r="D31" s="56"/>
      <x:c r="E31" s="56"/>
      <x:c r="F31" s="56"/>
      <x:c r="G31" s="56"/>
      <x:c r="H31" s="56"/>
      <x:c r="I31" s="56"/>
    </x:row>
    <x:row r="32" ht="25" customHeight="1">
      <x:c r="A32" s="56"/>
      <x:c r="B32" s="56"/>
      <x:c r="C32" s="56"/>
      <x:c r="D32" s="56"/>
      <x:c r="E32" s="56"/>
      <x:c r="F32" s="56"/>
      <x:c r="G32" s="56"/>
      <x:c r="H32" s="56"/>
      <x:c r="I32" s="56"/>
    </x:row>
    <x:row r="33" ht="25" customHeight="1">
      <x:c r="A33" s="56" t="str">
        <x:v>性別・年齢・勤続年数から業務可否を自動推定せず、勤務可能コードと対応可否を使います。</x:v>
      </x:c>
      <x:c r="B33" s="56"/>
      <x:c r="C33" s="56"/>
      <x:c r="D33" s="56"/>
      <x:c r="E33" s="56"/>
      <x:c r="F33" s="56"/>
      <x:c r="G33" s="56"/>
      <x:c r="H33" s="56"/>
      <x:c r="I33" s="56"/>
    </x:row>
    <x:row r="34" ht="25" customHeight="1">
      <x:c r="A34" s="56"/>
      <x:c r="B34" s="56"/>
      <x:c r="C34" s="56"/>
      <x:c r="D34" s="56"/>
      <x:c r="E34" s="56"/>
      <x:c r="F34" s="56"/>
      <x:c r="G34" s="56"/>
      <x:c r="H34" s="56"/>
      <x:c r="I34" s="56"/>
    </x:row>
    <x:row r="35" ht="25" customHeight="1">
      <x:c r="A35" s="56"/>
      <x:c r="B35" s="56"/>
      <x:c r="C35" s="56"/>
      <x:c r="D35" s="56"/>
      <x:c r="E35" s="56"/>
      <x:c r="F35" s="56"/>
      <x:c r="G35" s="56"/>
      <x:c r="H35" s="56"/>
      <x:c r="I35" s="56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44" hidden="0" customWidth="1"/>
  </x:cols>
  <x:sheetData>
    <x:row r="1" ht="25" customHeight="1">
      <x:c r="A1" s="56"/>
      <x:c r="B1" s="56"/>
      <x:c r="C1" s="56"/>
      <x:c r="D1" s="56"/>
      <x:c r="E1" s="56"/>
      <x:c r="F1" s="56"/>
      <x:c r="G1" s="56"/>
      <x:c r="H1" s="56"/>
    </x:row>
    <x:row r="2" ht="25" customHeight="1">
      <x:c r="A2" s="57" t="str">
        <x:v>勤務区分（時刻は変更可能な案）</x:v>
      </x:c>
      <x:c r="B2" s="56"/>
      <x:c r="C2" s="56"/>
      <x:c r="D2" s="56"/>
      <x:c r="E2" s="56"/>
      <x:c r="F2" s="56"/>
      <x:c r="G2" s="56"/>
      <x:c r="H2" s="56"/>
    </x:row>
    <x:row r="3" ht="25" customHeight="1">
      <x:c r="A3" s="58" t="str">
        <x:v>早・遅以外の時刻は今回の例示。短Aは勤務開始日のコードです。</x:v>
      </x:c>
      <x:c r="B3" s="56"/>
      <x:c r="C3" s="56"/>
      <x:c r="D3" s="56"/>
      <x:c r="E3" s="56"/>
      <x:c r="F3" s="56"/>
      <x:c r="G3" s="56"/>
      <x:c r="H3" s="56"/>
    </x:row>
    <x:row r="4" ht="25" customHeight="1">
      <x:c r="A4" s="56"/>
      <x:c r="B4" s="56"/>
      <x:c r="C4" s="56"/>
      <x:c r="D4" s="56"/>
      <x:c r="E4" s="56"/>
      <x:c r="F4" s="56"/>
      <x:c r="G4" s="56"/>
      <x:c r="H4" s="56"/>
    </x:row>
    <x:row r="5" ht="38" customHeight="1">
      <x:c r="A5" s="62" t="str">
        <x:v>コード</x:v>
      </x:c>
      <x:c r="B5" s="62" t="str">
        <x:v>名称</x:v>
      </x:c>
      <x:c r="C5" s="62" t="str">
        <x:v>開始時刻</x:v>
      </x:c>
      <x:c r="D5" s="62" t="str">
        <x:v>終了時刻</x:v>
      </x:c>
      <x:c r="E5" s="62" t="str">
        <x:v>終了翌日</x:v>
      </x:c>
      <x:c r="F5" s="62" t="str">
        <x:v>休憩等（時間）</x:v>
      </x:c>
      <x:c r="G5" s="62" t="str">
        <x:v>実働（時間）</x:v>
      </x:c>
      <x:c r="H5" s="62" t="str">
        <x:v>用途・前提</x:v>
      </x:c>
    </x:row>
    <x:row r="6" ht="25" customHeight="1">
      <x:c r="A6" s="63" t="str">
        <x:v>早</x:v>
      </x:c>
      <x:c r="B6" s="63" t="str">
        <x:v>早番</x:v>
      </x:c>
      <x:c r="C6" s="73" t="n">
        <x:v>0.2916666666666667</x:v>
      </x:c>
      <x:c r="D6" s="73" t="n">
        <x:v>0.6666666666666666</x:v>
      </x:c>
      <x:c r="E6" s="70" t="n">
        <x:v>0</x:v>
      </x:c>
      <x:c r="F6" s="74" t="n">
        <x:v>1</x:v>
      </x:c>
      <x:c r="G6" s="72" t="n">
        <x:f>(D6+E6-C6)*24-F6</x:f>
        <x:v>7.999999999999998</x:v>
      </x:c>
      <x:c r="H6" s="56" t="str">
        <x:v>基礎配置</x:v>
      </x:c>
    </x:row>
    <x:row r="7" ht="25" customHeight="1">
      <x:c r="A7" s="56" t="str">
        <x:v>遅</x:v>
      </x:c>
      <x:c r="B7" s="56" t="str">
        <x:v>遅番</x:v>
      </x:c>
      <x:c r="C7" s="73" t="n">
        <x:v>0.4166666666666667</x:v>
      </x:c>
      <x:c r="D7" s="73" t="n">
        <x:v>0.7916666666666666</x:v>
      </x:c>
      <x:c r="E7" s="70" t="n">
        <x:v>0</x:v>
      </x:c>
      <x:c r="F7" s="74" t="n">
        <x:v>1</x:v>
      </x:c>
      <x:c r="G7" s="72" t="n">
        <x:f>(D7+E7-C7)*24-F7</x:f>
        <x:v>7.999999999999998</x:v>
      </x:c>
      <x:c r="H7" s="56" t="str">
        <x:v>基礎配置</x:v>
      </x:c>
    </x:row>
    <x:row r="8" ht="25" customHeight="1">
      <x:c r="A8" s="63" t="str">
        <x:v>日</x:v>
      </x:c>
      <x:c r="B8" s="63" t="str">
        <x:v>日勤</x:v>
      </x:c>
      <x:c r="C8" s="73" t="n">
        <x:v>0.375</x:v>
      </x:c>
      <x:c r="D8" s="73" t="n">
        <x:v>0.75</x:v>
      </x:c>
      <x:c r="E8" s="70" t="n">
        <x:v>0</x:v>
      </x:c>
      <x:c r="F8" s="74" t="n">
        <x:v>1</x:v>
      </x:c>
      <x:c r="G8" s="72" t="n">
        <x:f>(D8+E8-C8)*24-F8</x:f>
        <x:v>8</x:v>
      </x:c>
      <x:c r="H8" s="56" t="str">
        <x:v>追加配置の候補</x:v>
      </x:c>
    </x:row>
    <x:row r="9" ht="25" customHeight="1">
      <x:c r="A9" s="56" t="str">
        <x:v>午</x:v>
      </x:c>
      <x:c r="B9" s="56" t="str">
        <x:v>午前パート</x:v>
      </x:c>
      <x:c r="C9" s="73" t="n">
        <x:v>0.2916666666666667</x:v>
      </x:c>
      <x:c r="D9" s="73" t="n">
        <x:v>0.4583333333333333</x:v>
      </x:c>
      <x:c r="E9" s="70" t="n">
        <x:v>0</x:v>
      </x:c>
      <x:c r="F9" s="74" t="n">
        <x:v>0</x:v>
      </x:c>
      <x:c r="G9" s="72" t="n">
        <x:f>(D9+E9-C9)*24-F9</x:f>
        <x:v>3.999999999999999</x:v>
      </x:c>
      <x:c r="H9" s="56" t="str">
        <x:v>時刻は仮設定</x:v>
      </x:c>
    </x:row>
    <x:row r="10" ht="25" customHeight="1">
      <x:c r="A10" s="63" t="str">
        <x:v>後</x:v>
      </x:c>
      <x:c r="B10" s="63" t="str">
        <x:v>午後パート</x:v>
      </x:c>
      <x:c r="C10" s="73" t="n">
        <x:v>0.625</x:v>
      </x:c>
      <x:c r="D10" s="73" t="n">
        <x:v>0.7916666666666666</x:v>
      </x:c>
      <x:c r="E10" s="70" t="n">
        <x:v>0</x:v>
      </x:c>
      <x:c r="F10" s="74" t="n">
        <x:v>0</x:v>
      </x:c>
      <x:c r="G10" s="72" t="n">
        <x:f>(D10+E10-C10)*24-F10</x:f>
        <x:v>3.999999999999999</x:v>
      </x:c>
      <x:c r="H10" s="56" t="str">
        <x:v>時刻は仮設定</x:v>
      </x:c>
    </x:row>
    <x:row r="11" ht="25" customHeight="1">
      <x:c r="A11" s="56" t="str">
        <x:v>短A</x:v>
      </x:c>
      <x:c r="B11" s="56" t="str">
        <x:v>夜間3時間A</x:v>
      </x:c>
      <x:c r="C11" s="73" t="n">
        <x:v>0.9166666666666666</x:v>
      </x:c>
      <x:c r="D11" s="73" t="n">
        <x:v>0.041666666666666664</x:v>
      </x:c>
      <x:c r="E11" s="70" t="n">
        <x:v>1</x:v>
      </x:c>
      <x:c r="F11" s="74" t="n">
        <x:v>0</x:v>
      </x:c>
      <x:c r="G11" s="72" t="n">
        <x:f>(D11+E11-C11)*24-F11</x:f>
        <x:v>3.0000000000000027</x:v>
      </x:c>
      <x:c r="H11" s="56" t="str">
        <x:v>22時〜翌1時</x:v>
      </x:c>
    </x:row>
    <x:row r="12" ht="25" customHeight="1">
      <x:c r="A12" s="63" t="str">
        <x:v>短B</x:v>
      </x:c>
      <x:c r="B12" s="63" t="str">
        <x:v>夜間3時間B</x:v>
      </x:c>
      <x:c r="C12" s="73" t="n">
        <x:v>0.041666666666666664</x:v>
      </x:c>
      <x:c r="D12" s="73" t="n">
        <x:v>0.16666666666666666</x:v>
      </x:c>
      <x:c r="E12" s="70" t="n">
        <x:v>0</x:v>
      </x:c>
      <x:c r="F12" s="74" t="n">
        <x:v>0</x:v>
      </x:c>
      <x:c r="G12" s="72" t="n">
        <x:f>(D12+E12-C12)*24-F12</x:f>
        <x:v>3</x:v>
      </x:c>
      <x:c r="H12" s="56" t="str">
        <x:v>1時〜4時（当日）</x:v>
      </x:c>
    </x:row>
    <x:row r="13" ht="25" customHeight="1">
      <x:c r="A13" s="56" t="str">
        <x:v>夜</x:v>
      </x:c>
      <x:c r="B13" s="56" t="str">
        <x:v>長時間夜勤</x:v>
      </x:c>
      <x:c r="C13" s="73" t="n">
        <x:v>0.6666666666666666</x:v>
      </x:c>
      <x:c r="D13" s="73" t="n">
        <x:v>0.375</x:v>
      </x:c>
      <x:c r="E13" s="70" t="n">
        <x:v>1</x:v>
      </x:c>
      <x:c r="F13" s="74" t="n">
        <x:f>'施設設定'!B10+'施設設定'!B11</x:f>
        <x:v>3</x:v>
      </x:c>
      <x:c r="G13" s="72" t="n">
        <x:f>(D13+E13-C13)*24-F13</x:f>
        <x:v>14</x:v>
      </x:c>
      <x:c r="H13" s="56" t="str">
        <x:v>全3時間を業務から解放する前提</x:v>
      </x:c>
    </x:row>
    <x:row r="14" ht="25" customHeight="1">
      <x:c r="A14" s="56"/>
      <x:c r="B14" s="56"/>
      <x:c r="C14" s="56"/>
      <x:c r="D14" s="56"/>
      <x:c r="E14" s="56"/>
      <x:c r="F14" s="56"/>
      <x:c r="G14" s="56"/>
      <x:c r="H14" s="56"/>
    </x:row>
    <x:row r="15" ht="25" customHeight="1">
      <x:c r="A15" s="56" t="str">
        <x:v>明</x:v>
      </x:c>
      <x:c r="B15" s="56" t="str">
        <x:v>夜勤明け</x:v>
      </x:c>
      <x:c r="C15" s="56"/>
      <x:c r="D15" s="56"/>
      <x:c r="E15" s="56"/>
      <x:c r="F15" s="56"/>
      <x:c r="G15" s="56"/>
      <x:c r="H15" s="56" t="str">
        <x:v>前日夜勤に含まれる終了日</x:v>
      </x:c>
    </x:row>
    <x:row r="16" ht="25" customHeight="1">
      <x:c r="A16" s="56" t="str">
        <x:v>休</x:v>
      </x:c>
      <x:c r="B16" s="56" t="str">
        <x:v>公休</x:v>
      </x:c>
      <x:c r="C16" s="56"/>
      <x:c r="D16" s="56"/>
      <x:c r="E16" s="56"/>
      <x:c r="F16" s="56"/>
      <x:c r="G16" s="56"/>
      <x:c r="H16" s="56" t="str">
        <x:v>勤務のない公休日</x:v>
      </x:c>
      <x:c r="I16"/>
    </x:row>
    <x:row r="17" ht="25" customHeight="1">
      <x:c r="A17" s="56" t="str">
        <x:v>有</x:v>
      </x:c>
      <x:c r="B17" s="56" t="str">
        <x:v>有休</x:v>
      </x:c>
      <x:c r="C17" s="56"/>
      <x:c r="D17" s="56"/>
      <x:c r="E17" s="56"/>
      <x:c r="F17" s="56"/>
      <x:c r="G17" s="56"/>
      <x:c r="H17" s="56" t="str">
        <x:v>付与・残数は別途管理</x:v>
      </x:c>
      <x:c r="I17"/>
    </x:row>
    <x:row r="18" ht="25" customHeight="1">
      <x:c r="A18" s="56"/>
      <x:c r="B18" s="56"/>
      <x:c r="C18" s="56"/>
      <x:c r="D18" s="56"/>
      <x:c r="E18" s="56"/>
      <x:c r="F18" s="56"/>
      <x:c r="G18" s="56"/>
      <x:c r="H18" s="56"/>
    </x:row>
    <x:row r="19" ht="25" customHeight="1">
      <x:c r="A19" s="56" t="str">
        <x:v>希望休は「休」「有」などの希望種別として別管理。勤務コード「希」は使いません。</x:v>
      </x:c>
      <x:c r="B19" s="56"/>
      <x:c r="C19" s="56"/>
      <x:c r="D19" s="56"/>
      <x:c r="E19" s="56"/>
      <x:c r="F19" s="56"/>
      <x:c r="G19" s="56"/>
      <x:c r="H19" s="56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6" hidden="0" customWidth="1"/>
    <x:col min="2" max="2" width="12" hidden="0" customWidth="1"/>
    <x:col min="3" max="3" width="8" hidden="0" customWidth="1"/>
    <x:col min="4" max="4" width="8" hidden="0" customWidth="1"/>
    <x:col min="5" max="5" width="8" hidden="0" customWidth="1"/>
    <x:col min="6" max="6" width="8" hidden="0" customWidth="1"/>
    <x:col min="7" max="7" width="8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  <x:col min="14" max="14" width="8" hidden="0" customWidth="1"/>
    <x:col min="15" max="15" width="8" hidden="0" customWidth="1"/>
    <x:col min="16" max="16" width="8" hidden="0" customWidth="1"/>
    <x:col min="17" max="17" width="8" hidden="0" customWidth="1"/>
    <x:col min="18" max="18" width="8" hidden="0" customWidth="1"/>
    <x:col min="19" max="19" width="8" hidden="0" customWidth="1"/>
    <x:col min="20" max="20" width="8" hidden="0" customWidth="1"/>
    <x:col min="21" max="21" width="8" hidden="0" customWidth="1"/>
    <x:col min="22" max="22" width="8" hidden="0" customWidth="1"/>
    <x:col min="23" max="23" width="13" hidden="0" customWidth="1"/>
  </x:cols>
  <x:sheetData>
    <x:row r="1" ht="25" customHeight="1">
      <x:c r="A1" s="56"/>
      <x:c r="B1" s="56"/>
      <x:c r="C1" s="56"/>
      <x:c r="D1" s="56"/>
      <x:c r="E1" s="56"/>
      <x:c r="F1" s="56"/>
      <x:c r="G1" s="56"/>
      <x:c r="H1" s="56"/>
      <x:c r="I1" s="56"/>
      <x:c r="J1" s="56"/>
      <x:c r="K1" s="56"/>
      <x:c r="L1" s="56"/>
      <x:c r="M1" s="56"/>
      <x:c r="N1" s="56"/>
      <x:c r="O1" s="56"/>
      <x:c r="P1" s="56"/>
      <x:c r="Q1" s="56"/>
      <x:c r="R1" s="56"/>
      <x:c r="S1" s="56"/>
      <x:c r="T1" s="56"/>
      <x:c r="U1" s="56"/>
      <x:c r="V1" s="56"/>
      <x:c r="W1" s="56"/>
    </x:row>
    <x:row r="2" ht="25" customHeight="1">
      <x:c r="A2" s="57" t="str">
        <x:v>夜間配置例（2時間仮眠の交代を検証）</x:v>
      </x:c>
      <x:c r="B2" s="56"/>
      <x:c r="C2" s="56"/>
      <x:c r="D2" s="56"/>
      <x:c r="E2" s="56"/>
      <x:c r="F2" s="56"/>
      <x:c r="G2" s="56"/>
      <x:c r="H2" s="56"/>
      <x:c r="I2" s="56"/>
      <x:c r="J2" s="56"/>
      <x:c r="K2" s="56"/>
      <x:c r="L2" s="56"/>
      <x:c r="M2" s="56"/>
      <x:c r="N2" s="56"/>
      <x:c r="O2" s="56"/>
      <x:c r="P2" s="56"/>
      <x:c r="Q2" s="56"/>
      <x:c r="R2" s="56"/>
      <x:c r="S2" s="56"/>
      <x:c r="T2" s="56"/>
      <x:c r="U2" s="56"/>
      <x:c r="V2" s="56"/>
      <x:c r="W2" s="56"/>
    </x:row>
    <x:row r="3" ht="25" customHeight="1">
      <x:c r="A3" s="58" t="str">
        <x:v>21時〜翌7時の例。食事休憩1時間は未配置で、夜勤全体・月次計画の完成判定ではありません。</x:v>
      </x:c>
      <x:c r="B3" s="56"/>
      <x:c r="C3" s="56"/>
      <x:c r="D3" s="56"/>
      <x:c r="E3" s="56"/>
      <x:c r="F3" s="56"/>
      <x:c r="G3" s="56"/>
      <x:c r="H3" s="56"/>
      <x:c r="I3" s="56"/>
      <x:c r="J3" s="56"/>
      <x:c r="K3" s="56"/>
      <x:c r="L3" s="56"/>
      <x:c r="M3" s="56"/>
      <x:c r="N3" s="56"/>
      <x:c r="O3" s="56"/>
      <x:c r="P3" s="56"/>
      <x:c r="Q3" s="56"/>
      <x:c r="R3" s="56"/>
      <x:c r="S3" s="56"/>
      <x:c r="T3" s="56"/>
      <x:c r="U3" s="56"/>
      <x:c r="V3" s="56"/>
      <x:c r="W3" s="56"/>
    </x:row>
    <x:row r="4" ht="25" customHeight="1">
      <x:c r="A4" s="56"/>
      <x:c r="B4" s="56"/>
      <x:c r="C4" s="56"/>
      <x:c r="D4" s="56"/>
      <x:c r="E4" s="56"/>
      <x:c r="F4" s="56"/>
      <x:c r="G4" s="56"/>
      <x:c r="H4" s="56"/>
      <x:c r="I4" s="56"/>
      <x:c r="J4" s="56"/>
      <x:c r="K4" s="56"/>
      <x:c r="L4" s="56"/>
      <x:c r="M4" s="56"/>
      <x:c r="N4" s="56"/>
      <x:c r="O4" s="56"/>
      <x:c r="P4" s="56"/>
      <x:c r="Q4" s="56"/>
      <x:c r="R4" s="56"/>
      <x:c r="S4" s="56"/>
      <x:c r="T4" s="56"/>
      <x:c r="U4" s="56"/>
      <x:c r="V4" s="56"/>
      <x:c r="W4" s="56"/>
    </x:row>
    <x:row r="5" ht="38" customHeight="1">
      <x:c r="A5" s="62" t="str">
        <x:v>時間帯の開始</x:v>
      </x:c>
      <x:c r="B5" s="62" t="str">
        <x:v>必要人数</x:v>
      </x:c>
      <x:c r="C5" s="86" t="n">
        <x:v>46296.875</x:v>
      </x:c>
      <x:c r="D5" s="86" t="n">
        <x:v>46296.895833333336</x:v>
      </x:c>
      <x:c r="E5" s="86" t="n">
        <x:v>46296.916666666664</x:v>
      </x:c>
      <x:c r="F5" s="86" t="n">
        <x:v>46296.9375</x:v>
      </x:c>
      <x:c r="G5" s="86" t="n">
        <x:v>46296.958333333336</x:v>
      </x:c>
      <x:c r="H5" s="86" t="n">
        <x:v>46296.979166666664</x:v>
      </x:c>
      <x:c r="I5" s="86" t="n">
        <x:v>46297</x:v>
      </x:c>
      <x:c r="J5" s="86" t="n">
        <x:v>46297.020833333336</x:v>
      </x:c>
      <x:c r="K5" s="86" t="n">
        <x:v>46297.041666666664</x:v>
      </x:c>
      <x:c r="L5" s="86" t="n">
        <x:v>46297.0625</x:v>
      </x:c>
      <x:c r="M5" s="86" t="n">
        <x:v>46297.083333333336</x:v>
      </x:c>
      <x:c r="N5" s="86" t="n">
        <x:v>46297.104166666664</x:v>
      </x:c>
      <x:c r="O5" s="86" t="n">
        <x:v>46297.125</x:v>
      </x:c>
      <x:c r="P5" s="86" t="n">
        <x:v>46297.145833333336</x:v>
      </x:c>
      <x:c r="Q5" s="86" t="n">
        <x:v>46297.166666666664</x:v>
      </x:c>
      <x:c r="R5" s="86" t="n">
        <x:v>46297.1875</x:v>
      </x:c>
      <x:c r="S5" s="86" t="n">
        <x:v>46297.208333333336</x:v>
      </x:c>
      <x:c r="T5" s="86" t="n">
        <x:v>46297.229166666664</x:v>
      </x:c>
      <x:c r="U5" s="86" t="n">
        <x:v>46297.25</x:v>
      </x:c>
      <x:c r="V5" s="86" t="n">
        <x:v>46297.270833333336</x:v>
      </x:c>
      <x:c r="W5" s="62" t="str">
        <x:v>仮眠時間</x:v>
      </x:c>
    </x:row>
    <x:row r="6" ht="25" customHeight="1">
      <x:c r="A6" s="56" t="str">
        <x:v>1F対応中</x:v>
      </x:c>
      <x:c r="B6" s="56" t="n">
        <x:f>'施設設定'!H17</x:f>
        <x:v>2</x:v>
      </x:c>
      <x:c r="C6" s="80" t="n">
        <x:f>COUNTIF(C$15:C$24,"1F")</x:f>
        <x:v>2</x:v>
      </x:c>
      <x:c r="D6" s="80" t="n">
        <x:f>COUNTIF(D$15:D$24,"1F")</x:f>
        <x:v>2</x:v>
      </x:c>
      <x:c r="E6" s="80" t="n">
        <x:f>COUNTIF(E$15:E$24,"1F")</x:f>
        <x:v>2</x:v>
      </x:c>
      <x:c r="F6" s="80" t="n">
        <x:f>COUNTIF(F$15:F$24,"1F")</x:f>
        <x:v>2</x:v>
      </x:c>
      <x:c r="G6" s="80" t="n">
        <x:f>COUNTIF(G$15:G$24,"1F")</x:f>
        <x:v>2</x:v>
      </x:c>
      <x:c r="H6" s="80" t="n">
        <x:f>COUNTIF(H$15:H$24,"1F")</x:f>
        <x:v>2</x:v>
      </x:c>
      <x:c r="I6" s="80" t="n">
        <x:f>COUNTIF(I$15:I$24,"1F")</x:f>
        <x:v>2</x:v>
      </x:c>
      <x:c r="J6" s="80" t="n">
        <x:f>COUNTIF(J$15:J$24,"1F")</x:f>
        <x:v>2</x:v>
      </x:c>
      <x:c r="K6" s="80" t="n">
        <x:f>COUNTIF(K$15:K$24,"1F")</x:f>
        <x:v>2</x:v>
      </x:c>
      <x:c r="L6" s="80" t="n">
        <x:f>COUNTIF(L$15:L$24,"1F")</x:f>
        <x:v>2</x:v>
      </x:c>
      <x:c r="M6" s="80" t="n">
        <x:f>COUNTIF(M$15:M$24,"1F")</x:f>
        <x:v>2</x:v>
      </x:c>
      <x:c r="N6" s="80" t="n">
        <x:f>COUNTIF(N$15:N$24,"1F")</x:f>
        <x:v>2</x:v>
      </x:c>
      <x:c r="O6" s="80" t="n">
        <x:f>COUNTIF(O$15:O$24,"1F")</x:f>
        <x:v>2</x:v>
      </x:c>
      <x:c r="P6" s="80" t="n">
        <x:f>COUNTIF(P$15:P$24,"1F")</x:f>
        <x:v>2</x:v>
      </x:c>
      <x:c r="Q6" s="80" t="n">
        <x:f>COUNTIF(Q$15:Q$24,"1F")</x:f>
        <x:v>2</x:v>
      </x:c>
      <x:c r="R6" s="80" t="n">
        <x:f>COUNTIF(R$15:R$24,"1F")</x:f>
        <x:v>2</x:v>
      </x:c>
      <x:c r="S6" s="80" t="n">
        <x:f>COUNTIF(S$15:S$24,"1F")</x:f>
        <x:v>2</x:v>
      </x:c>
      <x:c r="T6" s="80" t="n">
        <x:f>COUNTIF(T$15:T$24,"1F")</x:f>
        <x:v>2</x:v>
      </x:c>
      <x:c r="U6" s="80" t="n">
        <x:f>COUNTIF(U$15:U$24,"1F")</x:f>
        <x:v>2</x:v>
      </x:c>
      <x:c r="V6" s="80" t="n">
        <x:f>COUNTIF(V$15:V$24,"1F")</x:f>
        <x:v>2</x:v>
      </x:c>
      <x:c r="W6" s="56"/>
    </x:row>
    <x:row r="7" ht="25" customHeight="1">
      <x:c r="A7" s="56" t="str">
        <x:v>2F対応中</x:v>
      </x:c>
      <x:c r="B7" s="56" t="n">
        <x:f>'施設設定'!H18</x:f>
        <x:v>2</x:v>
      </x:c>
      <x:c r="C7" s="80" t="n">
        <x:f>COUNTIF(C$15:C$24,"2F")</x:f>
        <x:v>2</x:v>
      </x:c>
      <x:c r="D7" s="80" t="n">
        <x:f>COUNTIF(D$15:D$24,"2F")</x:f>
        <x:v>2</x:v>
      </x:c>
      <x:c r="E7" s="80" t="n">
        <x:f>COUNTIF(E$15:E$24,"2F")</x:f>
        <x:v>2</x:v>
      </x:c>
      <x:c r="F7" s="80" t="n">
        <x:f>COUNTIF(F$15:F$24,"2F")</x:f>
        <x:v>2</x:v>
      </x:c>
      <x:c r="G7" s="80" t="n">
        <x:f>COUNTIF(G$15:G$24,"2F")</x:f>
        <x:v>2</x:v>
      </x:c>
      <x:c r="H7" s="80" t="n">
        <x:f>COUNTIF(H$15:H$24,"2F")</x:f>
        <x:v>2</x:v>
      </x:c>
      <x:c r="I7" s="80" t="n">
        <x:f>COUNTIF(I$15:I$24,"2F")</x:f>
        <x:v>2</x:v>
      </x:c>
      <x:c r="J7" s="80" t="n">
        <x:f>COUNTIF(J$15:J$24,"2F")</x:f>
        <x:v>2</x:v>
      </x:c>
      <x:c r="K7" s="80" t="n">
        <x:f>COUNTIF(K$15:K$24,"2F")</x:f>
        <x:v>2</x:v>
      </x:c>
      <x:c r="L7" s="80" t="n">
        <x:f>COUNTIF(L$15:L$24,"2F")</x:f>
        <x:v>2</x:v>
      </x:c>
      <x:c r="M7" s="80" t="n">
        <x:f>COUNTIF(M$15:M$24,"2F")</x:f>
        <x:v>2</x:v>
      </x:c>
      <x:c r="N7" s="80" t="n">
        <x:f>COUNTIF(N$15:N$24,"2F")</x:f>
        <x:v>2</x:v>
      </x:c>
      <x:c r="O7" s="80" t="n">
        <x:f>COUNTIF(O$15:O$24,"2F")</x:f>
        <x:v>2</x:v>
      </x:c>
      <x:c r="P7" s="80" t="n">
        <x:f>COUNTIF(P$15:P$24,"2F")</x:f>
        <x:v>2</x:v>
      </x:c>
      <x:c r="Q7" s="80" t="n">
        <x:f>COUNTIF(Q$15:Q$24,"2F")</x:f>
        <x:v>2</x:v>
      </x:c>
      <x:c r="R7" s="80" t="n">
        <x:f>COUNTIF(R$15:R$24,"2F")</x:f>
        <x:v>2</x:v>
      </x:c>
      <x:c r="S7" s="80" t="n">
        <x:f>COUNTIF(S$15:S$24,"2F")</x:f>
        <x:v>2</x:v>
      </x:c>
      <x:c r="T7" s="80" t="n">
        <x:f>COUNTIF(T$15:T$24,"2F")</x:f>
        <x:v>2</x:v>
      </x:c>
      <x:c r="U7" s="80" t="n">
        <x:f>COUNTIF(U$15:U$24,"2F")</x:f>
        <x:v>2</x:v>
      </x:c>
      <x:c r="V7" s="80" t="n">
        <x:f>COUNTIF(V$15:V$24,"2F")</x:f>
        <x:v>2</x:v>
      </x:c>
      <x:c r="W7" s="56"/>
    </x:row>
    <x:row r="8" ht="25" customHeight="1">
      <x:c r="A8" s="56" t="str">
        <x:v>3F対応中</x:v>
      </x:c>
      <x:c r="B8" s="56" t="n">
        <x:f>'施設設定'!H19</x:f>
        <x:v>2</x:v>
      </x:c>
      <x:c r="C8" s="80" t="n">
        <x:f>COUNTIF(C$15:C$24,"3F")</x:f>
        <x:v>2</x:v>
      </x:c>
      <x:c r="D8" s="80" t="n">
        <x:f>COUNTIF(D$15:D$24,"3F")</x:f>
        <x:v>2</x:v>
      </x:c>
      <x:c r="E8" s="80" t="n">
        <x:f>COUNTIF(E$15:E$24,"3F")</x:f>
        <x:v>2</x:v>
      </x:c>
      <x:c r="F8" s="80" t="n">
        <x:f>COUNTIF(F$15:F$24,"3F")</x:f>
        <x:v>2</x:v>
      </x:c>
      <x:c r="G8" s="80" t="n">
        <x:f>COUNTIF(G$15:G$24,"3F")</x:f>
        <x:v>2</x:v>
      </x:c>
      <x:c r="H8" s="80" t="n">
        <x:f>COUNTIF(H$15:H$24,"3F")</x:f>
        <x:v>2</x:v>
      </x:c>
      <x:c r="I8" s="80" t="n">
        <x:f>COUNTIF(I$15:I$24,"3F")</x:f>
        <x:v>2</x:v>
      </x:c>
      <x:c r="J8" s="80" t="n">
        <x:f>COUNTIF(J$15:J$24,"3F")</x:f>
        <x:v>2</x:v>
      </x:c>
      <x:c r="K8" s="80" t="n">
        <x:f>COUNTIF(K$15:K$24,"3F")</x:f>
        <x:v>2</x:v>
      </x:c>
      <x:c r="L8" s="80" t="n">
        <x:f>COUNTIF(L$15:L$24,"3F")</x:f>
        <x:v>2</x:v>
      </x:c>
      <x:c r="M8" s="80" t="n">
        <x:f>COUNTIF(M$15:M$24,"3F")</x:f>
        <x:v>2</x:v>
      </x:c>
      <x:c r="N8" s="80" t="n">
        <x:f>COUNTIF(N$15:N$24,"3F")</x:f>
        <x:v>2</x:v>
      </x:c>
      <x:c r="O8" s="80" t="n">
        <x:f>COUNTIF(O$15:O$24,"3F")</x:f>
        <x:v>2</x:v>
      </x:c>
      <x:c r="P8" s="80" t="n">
        <x:f>COUNTIF(P$15:P$24,"3F")</x:f>
        <x:v>2</x:v>
      </x:c>
      <x:c r="Q8" s="80" t="n">
        <x:f>COUNTIF(Q$15:Q$24,"3F")</x:f>
        <x:v>2</x:v>
      </x:c>
      <x:c r="R8" s="80" t="n">
        <x:f>COUNTIF(R$15:R$24,"3F")</x:f>
        <x:v>2</x:v>
      </x:c>
      <x:c r="S8" s="80" t="n">
        <x:f>COUNTIF(S$15:S$24,"3F")</x:f>
        <x:v>2</x:v>
      </x:c>
      <x:c r="T8" s="80" t="n">
        <x:f>COUNTIF(T$15:T$24,"3F")</x:f>
        <x:v>2</x:v>
      </x:c>
      <x:c r="U8" s="80" t="n">
        <x:f>COUNTIF(U$15:U$24,"3F")</x:f>
        <x:v>2</x:v>
      </x:c>
      <x:c r="V8" s="80" t="n">
        <x:f>COUNTIF(V$15:V$24,"3F")</x:f>
        <x:v>2</x:v>
      </x:c>
      <x:c r="W8" s="56"/>
    </x:row>
    <x:row r="9" ht="25" customHeight="1">
      <x:c r="A9" s="56" t="str">
        <x:v>自由な統括</x:v>
      </x:c>
      <x:c r="B9" s="56" t="n">
        <x:f>'施設設定'!B12</x:f>
        <x:v>1</x:v>
      </x:c>
      <x:c r="C9" s="80" t="n">
        <x:f>COUNTIF(C$15:C$24,"統括")</x:f>
        <x:v>1</x:v>
      </x:c>
      <x:c r="D9" s="80" t="n">
        <x:f>COUNTIF(D$15:D$24,"統括")</x:f>
        <x:v>1</x:v>
      </x:c>
      <x:c r="E9" s="80" t="n">
        <x:f>COUNTIF(E$15:E$24,"統括")</x:f>
        <x:v>1</x:v>
      </x:c>
      <x:c r="F9" s="80" t="n">
        <x:f>COUNTIF(F$15:F$24,"統括")</x:f>
        <x:v>1</x:v>
      </x:c>
      <x:c r="G9" s="80" t="n">
        <x:f>COUNTIF(G$15:G$24,"統括")</x:f>
        <x:v>1</x:v>
      </x:c>
      <x:c r="H9" s="80" t="n">
        <x:f>COUNTIF(H$15:H$24,"統括")</x:f>
        <x:v>1</x:v>
      </x:c>
      <x:c r="I9" s="80" t="n">
        <x:f>COUNTIF(I$15:I$24,"統括")</x:f>
        <x:v>1</x:v>
      </x:c>
      <x:c r="J9" s="80" t="n">
        <x:f>COUNTIF(J$15:J$24,"統括")</x:f>
        <x:v>1</x:v>
      </x:c>
      <x:c r="K9" s="80" t="n">
        <x:f>COUNTIF(K$15:K$24,"統括")</x:f>
        <x:v>1</x:v>
      </x:c>
      <x:c r="L9" s="80" t="n">
        <x:f>COUNTIF(L$15:L$24,"統括")</x:f>
        <x:v>1</x:v>
      </x:c>
      <x:c r="M9" s="80" t="n">
        <x:f>COUNTIF(M$15:M$24,"統括")</x:f>
        <x:v>1</x:v>
      </x:c>
      <x:c r="N9" s="80" t="n">
        <x:f>COUNTIF(N$15:N$24,"統括")</x:f>
        <x:v>1</x:v>
      </x:c>
      <x:c r="O9" s="80" t="n">
        <x:f>COUNTIF(O$15:O$24,"統括")</x:f>
        <x:v>1</x:v>
      </x:c>
      <x:c r="P9" s="80" t="n">
        <x:f>COUNTIF(P$15:P$24,"統括")</x:f>
        <x:v>1</x:v>
      </x:c>
      <x:c r="Q9" s="80" t="n">
        <x:f>COUNTIF(Q$15:Q$24,"統括")</x:f>
        <x:v>1</x:v>
      </x:c>
      <x:c r="R9" s="80" t="n">
        <x:f>COUNTIF(R$15:R$24,"統括")</x:f>
        <x:v>1</x:v>
      </x:c>
      <x:c r="S9" s="80" t="n">
        <x:f>COUNTIF(S$15:S$24,"統括")</x:f>
        <x:v>1</x:v>
      </x:c>
      <x:c r="T9" s="80" t="n">
        <x:f>COUNTIF(T$15:T$24,"統括")</x:f>
        <x:v>1</x:v>
      </x:c>
      <x:c r="U9" s="80" t="n">
        <x:f>COUNTIF(U$15:U$24,"統括")</x:f>
        <x:v>1</x:v>
      </x:c>
      <x:c r="V9" s="80" t="n">
        <x:f>COUNTIF(V$15:V$24,"統括")</x:f>
        <x:v>1</x:v>
      </x:c>
      <x:c r="W9" s="56"/>
    </x:row>
    <x:row r="10" ht="25" customHeight="1">
      <x:c r="A10" s="56" t="str">
        <x:v>配置判定</x:v>
      </x:c>
      <x:c r="B10" s="56"/>
      <x:c r="C10" s="80" t="str">
        <x:f>IF(AND(C6&gt;=$B$6,C7&gt;=$B$7,C8&gt;=$B$8,C9&gt;=$B$9),"充足","不足")</x:f>
        <x:v>充足</x:v>
      </x:c>
      <x:c r="D10" s="80" t="str">
        <x:f>IF(AND(D6&gt;=$B$6,D7&gt;=$B$7,D8&gt;=$B$8,D9&gt;=$B$9),"充足","不足")</x:f>
        <x:v>充足</x:v>
      </x:c>
      <x:c r="E10" s="80" t="str">
        <x:f>IF(AND(E6&gt;=$B$6,E7&gt;=$B$7,E8&gt;=$B$8,E9&gt;=$B$9),"充足","不足")</x:f>
        <x:v>充足</x:v>
      </x:c>
      <x:c r="F10" s="80" t="str">
        <x:f>IF(AND(F6&gt;=$B$6,F7&gt;=$B$7,F8&gt;=$B$8,F9&gt;=$B$9),"充足","不足")</x:f>
        <x:v>充足</x:v>
      </x:c>
      <x:c r="G10" s="80" t="str">
        <x:f>IF(AND(G6&gt;=$B$6,G7&gt;=$B$7,G8&gt;=$B$8,G9&gt;=$B$9),"充足","不足")</x:f>
        <x:v>充足</x:v>
      </x:c>
      <x:c r="H10" s="80" t="str">
        <x:f>IF(AND(H6&gt;=$B$6,H7&gt;=$B$7,H8&gt;=$B$8,H9&gt;=$B$9),"充足","不足")</x:f>
        <x:v>充足</x:v>
      </x:c>
      <x:c r="I10" s="80" t="str">
        <x:f>IF(AND(I6&gt;=$B$6,I7&gt;=$B$7,I8&gt;=$B$8,I9&gt;=$B$9),"充足","不足")</x:f>
        <x:v>充足</x:v>
      </x:c>
      <x:c r="J10" s="80" t="str">
        <x:f>IF(AND(J6&gt;=$B$6,J7&gt;=$B$7,J8&gt;=$B$8,J9&gt;=$B$9),"充足","不足")</x:f>
        <x:v>充足</x:v>
      </x:c>
      <x:c r="K10" s="80" t="str">
        <x:f>IF(AND(K6&gt;=$B$6,K7&gt;=$B$7,K8&gt;=$B$8,K9&gt;=$B$9),"充足","不足")</x:f>
        <x:v>充足</x:v>
      </x:c>
      <x:c r="L10" s="80" t="str">
        <x:f>IF(AND(L6&gt;=$B$6,L7&gt;=$B$7,L8&gt;=$B$8,L9&gt;=$B$9),"充足","不足")</x:f>
        <x:v>充足</x:v>
      </x:c>
      <x:c r="M10" s="80" t="str">
        <x:f>IF(AND(M6&gt;=$B$6,M7&gt;=$B$7,M8&gt;=$B$8,M9&gt;=$B$9),"充足","不足")</x:f>
        <x:v>充足</x:v>
      </x:c>
      <x:c r="N10" s="80" t="str">
        <x:f>IF(AND(N6&gt;=$B$6,N7&gt;=$B$7,N8&gt;=$B$8,N9&gt;=$B$9),"充足","不足")</x:f>
        <x:v>充足</x:v>
      </x:c>
      <x:c r="O10" s="80" t="str">
        <x:f>IF(AND(O6&gt;=$B$6,O7&gt;=$B$7,O8&gt;=$B$8,O9&gt;=$B$9),"充足","不足")</x:f>
        <x:v>充足</x:v>
      </x:c>
      <x:c r="P10" s="80" t="str">
        <x:f>IF(AND(P6&gt;=$B$6,P7&gt;=$B$7,P8&gt;=$B$8,P9&gt;=$B$9),"充足","不足")</x:f>
        <x:v>充足</x:v>
      </x:c>
      <x:c r="Q10" s="80" t="str">
        <x:f>IF(AND(Q6&gt;=$B$6,Q7&gt;=$B$7,Q8&gt;=$B$8,Q9&gt;=$B$9),"充足","不足")</x:f>
        <x:v>充足</x:v>
      </x:c>
      <x:c r="R10" s="80" t="str">
        <x:f>IF(AND(R6&gt;=$B$6,R7&gt;=$B$7,R8&gt;=$B$8,R9&gt;=$B$9),"充足","不足")</x:f>
        <x:v>充足</x:v>
      </x:c>
      <x:c r="S10" s="80" t="str">
        <x:f>IF(AND(S6&gt;=$B$6,S7&gt;=$B$7,S8&gt;=$B$8,S9&gt;=$B$9),"充足","不足")</x:f>
        <x:v>充足</x:v>
      </x:c>
      <x:c r="T10" s="80" t="str">
        <x:f>IF(AND(T6&gt;=$B$6,T7&gt;=$B$7,T8&gt;=$B$8,T9&gt;=$B$9),"充足","不足")</x:f>
        <x:v>充足</x:v>
      </x:c>
      <x:c r="U10" s="80" t="str">
        <x:f>IF(AND(U6&gt;=$B$6,U7&gt;=$B$7,U8&gt;=$B$8,U9&gt;=$B$9),"充足","不足")</x:f>
        <x:v>充足</x:v>
      </x:c>
      <x:c r="V10" s="80" t="str">
        <x:f>IF(AND(V6&gt;=$B$6,V7&gt;=$B$7,V8&gt;=$B$8,V9&gt;=$B$9),"充足","不足")</x:f>
        <x:v>充足</x:v>
      </x:c>
      <x:c r="W10" s="56"/>
    </x:row>
    <x:row r="11" ht="25" customHeight="1">
      <x:c r="A11" s="56"/>
      <x:c r="B11" s="56"/>
      <x:c r="C11" s="56"/>
      <x:c r="D11" s="56"/>
      <x:c r="E11" s="56"/>
      <x:c r="F11" s="56"/>
      <x:c r="G11" s="56"/>
      <x:c r="H11" s="56"/>
      <x:c r="I11" s="56"/>
      <x:c r="J11" s="56"/>
      <x:c r="K11" s="56"/>
      <x:c r="L11" s="56"/>
      <x:c r="M11" s="56"/>
      <x:c r="N11" s="56"/>
      <x:c r="O11" s="56"/>
      <x:c r="P11" s="56"/>
      <x:c r="Q11" s="56"/>
      <x:c r="R11" s="56"/>
      <x:c r="S11" s="56"/>
      <x:c r="T11" s="56"/>
      <x:c r="U11" s="56"/>
      <x:c r="V11" s="56"/>
      <x:c r="W11" s="56"/>
    </x:row>
    <x:row r="12" ht="25" customHeight="1">
      <x:c r="A12" s="56"/>
      <x:c r="B12" s="56"/>
      <x:c r="C12" s="56"/>
      <x:c r="D12" s="56"/>
      <x:c r="E12" s="56"/>
      <x:c r="F12" s="56"/>
      <x:c r="G12" s="56"/>
      <x:c r="H12" s="56"/>
      <x:c r="I12" s="56"/>
      <x:c r="J12" s="56"/>
      <x:c r="K12" s="56"/>
      <x:c r="L12" s="56"/>
      <x:c r="M12" s="56"/>
      <x:c r="N12" s="56"/>
      <x:c r="O12" s="56"/>
      <x:c r="P12" s="56"/>
      <x:c r="Q12" s="56"/>
      <x:c r="R12" s="56"/>
      <x:c r="S12" s="56"/>
      <x:c r="T12" s="56"/>
      <x:c r="U12" s="56"/>
      <x:c r="V12" s="56"/>
      <x:c r="W12" s="56"/>
    </x:row>
    <x:row r="13" ht="25" customHeight="1">
      <x:c r="A13" s="56" t="str">
        <x:v>各セルは実際の担当。統括がフロアを代替する時間は「自由な統括」には数えません。</x:v>
      </x:c>
      <x:c r="B13" s="56"/>
      <x:c r="C13" s="56"/>
      <x:c r="D13" s="56"/>
      <x:c r="E13" s="56"/>
      <x:c r="F13" s="56"/>
      <x:c r="G13" s="56"/>
      <x:c r="H13" s="56"/>
      <x:c r="I13" s="56"/>
      <x:c r="J13" s="56"/>
      <x:c r="K13" s="56"/>
      <x:c r="L13" s="56"/>
      <x:c r="M13" s="56"/>
      <x:c r="N13" s="56"/>
      <x:c r="O13" s="56"/>
      <x:c r="P13" s="56"/>
      <x:c r="Q13" s="56"/>
      <x:c r="R13" s="56"/>
      <x:c r="S13" s="56"/>
      <x:c r="T13" s="56"/>
      <x:c r="U13" s="56"/>
      <x:c r="V13" s="56"/>
      <x:c r="W13" s="56"/>
    </x:row>
    <x:row r="14" ht="38" customHeight="1">
      <x:c r="A14" s="62" t="str">
        <x:v>職員ID</x:v>
      </x:c>
      <x:c r="B14" s="62" t="str">
        <x:v>基本担当</x:v>
      </x:c>
      <x:c r="C14" s="86" t="n">
        <x:v>46296.875</x:v>
      </x:c>
      <x:c r="D14" s="86" t="n">
        <x:v>46296.895833333336</x:v>
      </x:c>
      <x:c r="E14" s="86" t="n">
        <x:v>46296.916666666664</x:v>
      </x:c>
      <x:c r="F14" s="86" t="n">
        <x:v>46296.9375</x:v>
      </x:c>
      <x:c r="G14" s="86" t="n">
        <x:v>46296.958333333336</x:v>
      </x:c>
      <x:c r="H14" s="86" t="n">
        <x:v>46296.979166666664</x:v>
      </x:c>
      <x:c r="I14" s="86" t="n">
        <x:v>46297</x:v>
      </x:c>
      <x:c r="J14" s="86" t="n">
        <x:v>46297.020833333336</x:v>
      </x:c>
      <x:c r="K14" s="86" t="n">
        <x:v>46297.041666666664</x:v>
      </x:c>
      <x:c r="L14" s="86" t="n">
        <x:v>46297.0625</x:v>
      </x:c>
      <x:c r="M14" s="86" t="n">
        <x:v>46297.083333333336</x:v>
      </x:c>
      <x:c r="N14" s="86" t="n">
        <x:v>46297.104166666664</x:v>
      </x:c>
      <x:c r="O14" s="86" t="n">
        <x:v>46297.125</x:v>
      </x:c>
      <x:c r="P14" s="86" t="n">
        <x:v>46297.145833333336</x:v>
      </x:c>
      <x:c r="Q14" s="86" t="n">
        <x:v>46297.166666666664</x:v>
      </x:c>
      <x:c r="R14" s="86" t="n">
        <x:v>46297.1875</x:v>
      </x:c>
      <x:c r="S14" s="86" t="n">
        <x:v>46297.208333333336</x:v>
      </x:c>
      <x:c r="T14" s="86" t="n">
        <x:v>46297.229166666664</x:v>
      </x:c>
      <x:c r="U14" s="86" t="n">
        <x:v>46297.25</x:v>
      </x:c>
      <x:c r="V14" s="86" t="n">
        <x:v>46297.270833333336</x:v>
      </x:c>
      <x:c r="W14" s="62" t="str">
        <x:v>仮眠（時間）</x:v>
      </x:c>
    </x:row>
    <x:row r="15" ht="25" customHeight="1">
      <x:c r="A15" s="56" t="str">
        <x:v>1F-02</x:v>
      </x:c>
      <x:c r="B15" s="56" t="str">
        <x:v>1F</x:v>
      </x:c>
      <x:c r="C15" s="80" t="str">
        <x:v>仮眠</x:v>
      </x:c>
      <x:c r="D15" s="80" t="str">
        <x:v>仮眠</x:v>
      </x:c>
      <x:c r="E15" s="80" t="str">
        <x:v>仮眠</x:v>
      </x:c>
      <x:c r="F15" s="80" t="str">
        <x:v>仮眠</x:v>
      </x:c>
      <x:c r="G15" s="80" t="str">
        <x:v>1F</x:v>
      </x:c>
      <x:c r="H15" s="80" t="str">
        <x:v>1F</x:v>
      </x:c>
      <x:c r="I15" s="80" t="str">
        <x:v>1F</x:v>
      </x:c>
      <x:c r="J15" s="80" t="str">
        <x:v>1F</x:v>
      </x:c>
      <x:c r="K15" s="80" t="str">
        <x:v>1F</x:v>
      </x:c>
      <x:c r="L15" s="80" t="str">
        <x:v>1F</x:v>
      </x:c>
      <x:c r="M15" s="80" t="str">
        <x:v>1F</x:v>
      </x:c>
      <x:c r="N15" s="80" t="str">
        <x:v>1F</x:v>
      </x:c>
      <x:c r="O15" s="80" t="str">
        <x:v>1F</x:v>
      </x:c>
      <x:c r="P15" s="80" t="str">
        <x:v>1F</x:v>
      </x:c>
      <x:c r="Q15" s="80" t="str">
        <x:v>1F</x:v>
      </x:c>
      <x:c r="R15" s="80" t="str">
        <x:v>1F</x:v>
      </x:c>
      <x:c r="S15" s="80" t="str">
        <x:v>1F</x:v>
      </x:c>
      <x:c r="T15" s="80" t="str">
        <x:v>1F</x:v>
      </x:c>
      <x:c r="U15" s="80" t="str">
        <x:v>1F</x:v>
      </x:c>
      <x:c r="V15" s="80" t="str">
        <x:v>1F</x:v>
      </x:c>
      <x:c r="W15" s="72" t="n">
        <x:f>COUNTIF(C15:V15,"仮眠")*0.5</x:f>
        <x:v>2</x:v>
      </x:c>
    </x:row>
    <x:row r="16" ht="25" customHeight="1">
      <x:c r="A16" s="56" t="str">
        <x:v>1F-03</x:v>
      </x:c>
      <x:c r="B16" s="56" t="str">
        <x:v>1F</x:v>
      </x:c>
      <x:c r="C16" s="80" t="str">
        <x:v>1F</x:v>
      </x:c>
      <x:c r="D16" s="80" t="str">
        <x:v>1F</x:v>
      </x:c>
      <x:c r="E16" s="80" t="str">
        <x:v>仮眠</x:v>
      </x:c>
      <x:c r="F16" s="80" t="str">
        <x:v>仮眠</x:v>
      </x:c>
      <x:c r="G16" s="80" t="str">
        <x:v>仮眠</x:v>
      </x:c>
      <x:c r="H16" s="80" t="str">
        <x:v>仮眠</x:v>
      </x:c>
      <x:c r="I16" s="80" t="str">
        <x:v>1F</x:v>
      </x:c>
      <x:c r="J16" s="80" t="str">
        <x:v>1F</x:v>
      </x:c>
      <x:c r="K16" s="80" t="str">
        <x:v>1F</x:v>
      </x:c>
      <x:c r="L16" s="80" t="str">
        <x:v>1F</x:v>
      </x:c>
      <x:c r="M16" s="80" t="str">
        <x:v>1F</x:v>
      </x:c>
      <x:c r="N16" s="80" t="str">
        <x:v>1F</x:v>
      </x:c>
      <x:c r="O16" s="80" t="str">
        <x:v>1F</x:v>
      </x:c>
      <x:c r="P16" s="80" t="str">
        <x:v>1F</x:v>
      </x:c>
      <x:c r="Q16" s="80" t="str">
        <x:v>1F</x:v>
      </x:c>
      <x:c r="R16" s="80" t="str">
        <x:v>1F</x:v>
      </x:c>
      <x:c r="S16" s="80" t="str">
        <x:v>1F</x:v>
      </x:c>
      <x:c r="T16" s="80" t="str">
        <x:v>1F</x:v>
      </x:c>
      <x:c r="U16" s="80" t="str">
        <x:v>1F</x:v>
      </x:c>
      <x:c r="V16" s="80" t="str">
        <x:v>1F</x:v>
      </x:c>
      <x:c r="W16" s="72" t="n">
        <x:f>COUNTIF(C16:V16,"仮眠")*0.5</x:f>
        <x:v>2</x:v>
      </x:c>
    </x:row>
    <x:row r="17" ht="25" customHeight="1">
      <x:c r="A17" s="56" t="str">
        <x:v>2F-02</x:v>
      </x:c>
      <x:c r="B17" s="56" t="str">
        <x:v>2F</x:v>
      </x:c>
      <x:c r="C17" s="80" t="str">
        <x:v>2F</x:v>
      </x:c>
      <x:c r="D17" s="80" t="str">
        <x:v>2F</x:v>
      </x:c>
      <x:c r="E17" s="80" t="str">
        <x:v>2F</x:v>
      </x:c>
      <x:c r="F17" s="80" t="str">
        <x:v>2F</x:v>
      </x:c>
      <x:c r="G17" s="80" t="str">
        <x:v>仮眠</x:v>
      </x:c>
      <x:c r="H17" s="80" t="str">
        <x:v>仮眠</x:v>
      </x:c>
      <x:c r="I17" s="80" t="str">
        <x:v>仮眠</x:v>
      </x:c>
      <x:c r="J17" s="80" t="str">
        <x:v>仮眠</x:v>
      </x:c>
      <x:c r="K17" s="80" t="str">
        <x:v>2F</x:v>
      </x:c>
      <x:c r="L17" s="80" t="str">
        <x:v>2F</x:v>
      </x:c>
      <x:c r="M17" s="80" t="str">
        <x:v>2F</x:v>
      </x:c>
      <x:c r="N17" s="80" t="str">
        <x:v>2F</x:v>
      </x:c>
      <x:c r="O17" s="80" t="str">
        <x:v>2F</x:v>
      </x:c>
      <x:c r="P17" s="80" t="str">
        <x:v>2F</x:v>
      </x:c>
      <x:c r="Q17" s="80" t="str">
        <x:v>2F</x:v>
      </x:c>
      <x:c r="R17" s="80" t="str">
        <x:v>2F</x:v>
      </x:c>
      <x:c r="S17" s="80" t="str">
        <x:v>2F</x:v>
      </x:c>
      <x:c r="T17" s="80" t="str">
        <x:v>2F</x:v>
      </x:c>
      <x:c r="U17" s="80" t="str">
        <x:v>2F</x:v>
      </x:c>
      <x:c r="V17" s="80" t="str">
        <x:v>2F</x:v>
      </x:c>
      <x:c r="W17" s="72" t="n">
        <x:f>COUNTIF(C17:V17,"仮眠")*0.5</x:f>
        <x:v>2</x:v>
      </x:c>
    </x:row>
    <x:row r="18" ht="25" customHeight="1">
      <x:c r="A18" s="56" t="str">
        <x:v>2F-03</x:v>
      </x:c>
      <x:c r="B18" s="56" t="str">
        <x:v>2F</x:v>
      </x:c>
      <x:c r="C18" s="80" t="str">
        <x:v>2F</x:v>
      </x:c>
      <x:c r="D18" s="80" t="str">
        <x:v>2F</x:v>
      </x:c>
      <x:c r="E18" s="80" t="str">
        <x:v>2F</x:v>
      </x:c>
      <x:c r="F18" s="80" t="str">
        <x:v>2F</x:v>
      </x:c>
      <x:c r="G18" s="80" t="str">
        <x:v>2F</x:v>
      </x:c>
      <x:c r="H18" s="80" t="str">
        <x:v>2F</x:v>
      </x:c>
      <x:c r="I18" s="80" t="str">
        <x:v>仮眠</x:v>
      </x:c>
      <x:c r="J18" s="80" t="str">
        <x:v>仮眠</x:v>
      </x:c>
      <x:c r="K18" s="80" t="str">
        <x:v>仮眠</x:v>
      </x:c>
      <x:c r="L18" s="80" t="str">
        <x:v>仮眠</x:v>
      </x:c>
      <x:c r="M18" s="80" t="str">
        <x:v>2F</x:v>
      </x:c>
      <x:c r="N18" s="80" t="str">
        <x:v>2F</x:v>
      </x:c>
      <x:c r="O18" s="80" t="str">
        <x:v>2F</x:v>
      </x:c>
      <x:c r="P18" s="80" t="str">
        <x:v>2F</x:v>
      </x:c>
      <x:c r="Q18" s="80" t="str">
        <x:v>2F</x:v>
      </x:c>
      <x:c r="R18" s="80" t="str">
        <x:v>2F</x:v>
      </x:c>
      <x:c r="S18" s="80" t="str">
        <x:v>2F</x:v>
      </x:c>
      <x:c r="T18" s="80" t="str">
        <x:v>2F</x:v>
      </x:c>
      <x:c r="U18" s="80" t="str">
        <x:v>2F</x:v>
      </x:c>
      <x:c r="V18" s="80" t="str">
        <x:v>2F</x:v>
      </x:c>
      <x:c r="W18" s="72" t="n">
        <x:f>COUNTIF(C18:V18,"仮眠")*0.5</x:f>
        <x:v>2</x:v>
      </x:c>
    </x:row>
    <x:row r="19" ht="25" customHeight="1">
      <x:c r="A19" s="56" t="str">
        <x:v>3F-02</x:v>
      </x:c>
      <x:c r="B19" s="56" t="str">
        <x:v>3F</x:v>
      </x:c>
      <x:c r="C19" s="80" t="str">
        <x:v>3F</x:v>
      </x:c>
      <x:c r="D19" s="80" t="str">
        <x:v>3F</x:v>
      </x:c>
      <x:c r="E19" s="80" t="str">
        <x:v>3F</x:v>
      </x:c>
      <x:c r="F19" s="80" t="str">
        <x:v>3F</x:v>
      </x:c>
      <x:c r="G19" s="80" t="str">
        <x:v>3F</x:v>
      </x:c>
      <x:c r="H19" s="80" t="str">
        <x:v>3F</x:v>
      </x:c>
      <x:c r="I19" s="80" t="str">
        <x:v>3F</x:v>
      </x:c>
      <x:c r="J19" s="80" t="str">
        <x:v>3F</x:v>
      </x:c>
      <x:c r="K19" s="80" t="str">
        <x:v>仮眠</x:v>
      </x:c>
      <x:c r="L19" s="80" t="str">
        <x:v>仮眠</x:v>
      </x:c>
      <x:c r="M19" s="80" t="str">
        <x:v>仮眠</x:v>
      </x:c>
      <x:c r="N19" s="80" t="str">
        <x:v>仮眠</x:v>
      </x:c>
      <x:c r="O19" s="80" t="str">
        <x:v>3F</x:v>
      </x:c>
      <x:c r="P19" s="80" t="str">
        <x:v>3F</x:v>
      </x:c>
      <x:c r="Q19" s="80" t="str">
        <x:v>3F</x:v>
      </x:c>
      <x:c r="R19" s="80" t="str">
        <x:v>3F</x:v>
      </x:c>
      <x:c r="S19" s="80" t="str">
        <x:v>3F</x:v>
      </x:c>
      <x:c r="T19" s="80" t="str">
        <x:v>3F</x:v>
      </x:c>
      <x:c r="U19" s="80" t="str">
        <x:v>3F</x:v>
      </x:c>
      <x:c r="V19" s="80" t="str">
        <x:v>3F</x:v>
      </x:c>
      <x:c r="W19" s="72" t="n">
        <x:f>COUNTIF(C19:V19,"仮眠")*0.5</x:f>
        <x:v>2</x:v>
      </x:c>
    </x:row>
    <x:row r="20" ht="25" customHeight="1">
      <x:c r="A20" s="56" t="str">
        <x:v>3F-03</x:v>
      </x:c>
      <x:c r="B20" s="56" t="str">
        <x:v>3F</x:v>
      </x:c>
      <x:c r="C20" s="80" t="str">
        <x:v>3F</x:v>
      </x:c>
      <x:c r="D20" s="80" t="str">
        <x:v>3F</x:v>
      </x:c>
      <x:c r="E20" s="80" t="str">
        <x:v>3F</x:v>
      </x:c>
      <x:c r="F20" s="80" t="str">
        <x:v>3F</x:v>
      </x:c>
      <x:c r="G20" s="80" t="str">
        <x:v>3F</x:v>
      </x:c>
      <x:c r="H20" s="80" t="str">
        <x:v>3F</x:v>
      </x:c>
      <x:c r="I20" s="80" t="str">
        <x:v>3F</x:v>
      </x:c>
      <x:c r="J20" s="80" t="str">
        <x:v>3F</x:v>
      </x:c>
      <x:c r="K20" s="80" t="str">
        <x:v>3F</x:v>
      </x:c>
      <x:c r="L20" s="80" t="str">
        <x:v>3F</x:v>
      </x:c>
      <x:c r="M20" s="80" t="str">
        <x:v>仮眠</x:v>
      </x:c>
      <x:c r="N20" s="80" t="str">
        <x:v>仮眠</x:v>
      </x:c>
      <x:c r="O20" s="80" t="str">
        <x:v>仮眠</x:v>
      </x:c>
      <x:c r="P20" s="80" t="str">
        <x:v>仮眠</x:v>
      </x:c>
      <x:c r="Q20" s="80" t="str">
        <x:v>3F</x:v>
      </x:c>
      <x:c r="R20" s="80" t="str">
        <x:v>3F</x:v>
      </x:c>
      <x:c r="S20" s="80" t="str">
        <x:v>3F</x:v>
      </x:c>
      <x:c r="T20" s="80" t="str">
        <x:v>3F</x:v>
      </x:c>
      <x:c r="U20" s="80" t="str">
        <x:v>3F</x:v>
      </x:c>
      <x:c r="V20" s="80" t="str">
        <x:v>3F</x:v>
      </x:c>
      <x:c r="W20" s="72" t="n">
        <x:f>COUNTIF(C20:V20,"仮眠")*0.5</x:f>
        <x:v>2</x:v>
      </x:c>
    </x:row>
    <x:row r="21" ht="25" customHeight="1">
      <x:c r="A21" s="56" t="str">
        <x:v>1F-01</x:v>
      </x:c>
      <x:c r="B21" s="56" t="str">
        <x:v>統括</x:v>
      </x:c>
      <x:c r="C21" s="80" t="str">
        <x:v>1F</x:v>
      </x:c>
      <x:c r="D21" s="80" t="str">
        <x:v>1F</x:v>
      </x:c>
      <x:c r="E21" s="80" t="str">
        <x:v>1F</x:v>
      </x:c>
      <x:c r="F21" s="80" t="str">
        <x:v>1F</x:v>
      </x:c>
      <x:c r="G21" s="80" t="str">
        <x:v>2F</x:v>
      </x:c>
      <x:c r="H21" s="80" t="str">
        <x:v>2F</x:v>
      </x:c>
      <x:c r="I21" s="80" t="str">
        <x:v>2F</x:v>
      </x:c>
      <x:c r="J21" s="80" t="str">
        <x:v>2F</x:v>
      </x:c>
      <x:c r="K21" s="80" t="str">
        <x:v>3F</x:v>
      </x:c>
      <x:c r="L21" s="80" t="str">
        <x:v>3F</x:v>
      </x:c>
      <x:c r="M21" s="80" t="str">
        <x:v>3F</x:v>
      </x:c>
      <x:c r="N21" s="80" t="str">
        <x:v>3F</x:v>
      </x:c>
      <x:c r="O21" s="80" t="str">
        <x:v>仮眠</x:v>
      </x:c>
      <x:c r="P21" s="80" t="str">
        <x:v>仮眠</x:v>
      </x:c>
      <x:c r="Q21" s="80" t="str">
        <x:v>仮眠</x:v>
      </x:c>
      <x:c r="R21" s="80" t="str">
        <x:v>仮眠</x:v>
      </x:c>
      <x:c r="S21" s="80" t="str">
        <x:v>統括</x:v>
      </x:c>
      <x:c r="T21" s="80" t="str">
        <x:v>統括</x:v>
      </x:c>
      <x:c r="U21" s="80" t="str">
        <x:v>統括</x:v>
      </x:c>
      <x:c r="V21" s="80" t="str">
        <x:v>統括</x:v>
      </x:c>
      <x:c r="W21" s="72" t="n">
        <x:f>COUNTIF(C21:V21,"仮眠")*0.5</x:f>
        <x:v>2</x:v>
      </x:c>
    </x:row>
    <x:row r="22" ht="25" customHeight="1">
      <x:c r="A22" s="56" t="str">
        <x:v>2F-01</x:v>
      </x:c>
      <x:c r="B22" s="56" t="str">
        <x:v>統括</x:v>
      </x:c>
      <x:c r="C22" s="80" t="str">
        <x:v>統括</x:v>
      </x:c>
      <x:c r="D22" s="80" t="str">
        <x:v>統括</x:v>
      </x:c>
      <x:c r="E22" s="80" t="str">
        <x:v>統括</x:v>
      </x:c>
      <x:c r="F22" s="80" t="str">
        <x:v>統括</x:v>
      </x:c>
      <x:c r="G22" s="80" t="str">
        <x:v>統括</x:v>
      </x:c>
      <x:c r="H22" s="80" t="str">
        <x:v>統括</x:v>
      </x:c>
      <x:c r="I22" s="80" t="str">
        <x:v>統括</x:v>
      </x:c>
      <x:c r="J22" s="80" t="str">
        <x:v>統括</x:v>
      </x:c>
      <x:c r="K22" s="80" t="str">
        <x:v>統括</x:v>
      </x:c>
      <x:c r="L22" s="80" t="str">
        <x:v>統括</x:v>
      </x:c>
      <x:c r="M22" s="80" t="str">
        <x:v>統括</x:v>
      </x:c>
      <x:c r="N22" s="80" t="str">
        <x:v>統括</x:v>
      </x:c>
      <x:c r="O22" s="80" t="str">
        <x:v>統括</x:v>
      </x:c>
      <x:c r="P22" s="80" t="str">
        <x:v>統括</x:v>
      </x:c>
      <x:c r="Q22" s="80" t="str">
        <x:v>統括</x:v>
      </x:c>
      <x:c r="R22" s="80" t="str">
        <x:v>統括</x:v>
      </x:c>
      <x:c r="S22" s="80" t="str">
        <x:v>仮眠</x:v>
      </x:c>
      <x:c r="T22" s="80" t="str">
        <x:v>仮眠</x:v>
      </x:c>
      <x:c r="U22" s="80" t="str">
        <x:v>仮眠</x:v>
      </x:c>
      <x:c r="V22" s="80" t="str">
        <x:v>仮眠</x:v>
      </x:c>
      <x:c r="W22" s="72" t="n">
        <x:f>COUNTIF(C22:V22,"仮眠")*0.5</x:f>
        <x:v>2</x:v>
      </x:c>
    </x:row>
    <x:row r="23" ht="25" customHeight="1">
      <x:c r="A23" s="56" t="str">
        <x:v>1F-23</x:v>
      </x:c>
      <x:c r="B23" s="56" t="str">
        <x:v>短時間</x:v>
      </x:c>
      <x:c r="C23" s="80" t="str">
        <x:v>非勤務</x:v>
      </x:c>
      <x:c r="D23" s="80" t="str">
        <x:v>非勤務</x:v>
      </x:c>
      <x:c r="E23" s="80" t="str">
        <x:v>1F</x:v>
      </x:c>
      <x:c r="F23" s="80" t="str">
        <x:v>1F</x:v>
      </x:c>
      <x:c r="G23" s="80" t="str">
        <x:v>1F</x:v>
      </x:c>
      <x:c r="H23" s="80" t="str">
        <x:v>1F</x:v>
      </x:c>
      <x:c r="I23" s="80" t="str">
        <x:v>2F</x:v>
      </x:c>
      <x:c r="J23" s="80" t="str">
        <x:v>2F</x:v>
      </x:c>
      <x:c r="K23" s="80" t="str">
        <x:v>非勤務</x:v>
      </x:c>
      <x:c r="L23" s="80" t="str">
        <x:v>非勤務</x:v>
      </x:c>
      <x:c r="M23" s="80" t="str">
        <x:v>非勤務</x:v>
      </x:c>
      <x:c r="N23" s="80" t="str">
        <x:v>非勤務</x:v>
      </x:c>
      <x:c r="O23" s="80" t="str">
        <x:v>非勤務</x:v>
      </x:c>
      <x:c r="P23" s="80" t="str">
        <x:v>非勤務</x:v>
      </x:c>
      <x:c r="Q23" s="80" t="str">
        <x:v>非勤務</x:v>
      </x:c>
      <x:c r="R23" s="80" t="str">
        <x:v>非勤務</x:v>
      </x:c>
      <x:c r="S23" s="80" t="str">
        <x:v>非勤務</x:v>
      </x:c>
      <x:c r="T23" s="80" t="str">
        <x:v>非勤務</x:v>
      </x:c>
      <x:c r="U23" s="80" t="str">
        <x:v>非勤務</x:v>
      </x:c>
      <x:c r="V23" s="80" t="str">
        <x:v>非勤務</x:v>
      </x:c>
      <x:c r="W23" s="72" t="n">
        <x:f>COUNTIF(C23:V23,"仮眠")*0.5</x:f>
        <x:v>0</x:v>
      </x:c>
    </x:row>
    <x:row r="24" ht="25" customHeight="1">
      <x:c r="A24" s="56" t="str">
        <x:v>2F-24</x:v>
      </x:c>
      <x:c r="B24" s="56" t="str">
        <x:v>短時間</x:v>
      </x:c>
      <x:c r="C24" s="80" t="str">
        <x:v>非勤務</x:v>
      </x:c>
      <x:c r="D24" s="80" t="str">
        <x:v>非勤務</x:v>
      </x:c>
      <x:c r="E24" s="80" t="str">
        <x:v>非勤務</x:v>
      </x:c>
      <x:c r="F24" s="80" t="str">
        <x:v>非勤務</x:v>
      </x:c>
      <x:c r="G24" s="80" t="str">
        <x:v>非勤務</x:v>
      </x:c>
      <x:c r="H24" s="80" t="str">
        <x:v>非勤務</x:v>
      </x:c>
      <x:c r="I24" s="80" t="str">
        <x:v>非勤務</x:v>
      </x:c>
      <x:c r="J24" s="80" t="str">
        <x:v>非勤務</x:v>
      </x:c>
      <x:c r="K24" s="80" t="str">
        <x:v>2F</x:v>
      </x:c>
      <x:c r="L24" s="80" t="str">
        <x:v>2F</x:v>
      </x:c>
      <x:c r="M24" s="80" t="str">
        <x:v>3F</x:v>
      </x:c>
      <x:c r="N24" s="80" t="str">
        <x:v>3F</x:v>
      </x:c>
      <x:c r="O24" s="80" t="str">
        <x:v>3F</x:v>
      </x:c>
      <x:c r="P24" s="80" t="str">
        <x:v>3F</x:v>
      </x:c>
      <x:c r="Q24" s="80" t="str">
        <x:v>非勤務</x:v>
      </x:c>
      <x:c r="R24" s="80" t="str">
        <x:v>非勤務</x:v>
      </x:c>
      <x:c r="S24" s="80" t="str">
        <x:v>非勤務</x:v>
      </x:c>
      <x:c r="T24" s="80" t="str">
        <x:v>非勤務</x:v>
      </x:c>
      <x:c r="U24" s="80" t="str">
        <x:v>非勤務</x:v>
      </x:c>
      <x:c r="V24" s="80" t="str">
        <x:v>非勤務</x:v>
      </x:c>
      <x:c r="W24" s="72" t="n">
        <x:f>COUNTIF(C24:V24,"仮眠")*0.5</x:f>
        <x:v>0</x:v>
      </x:c>
    </x:row>
    <x:row r="25" ht="25" customHeight="1">
      <x:c r="A25" s="56"/>
      <x:c r="B25" s="56"/>
      <x:c r="C25" s="56"/>
      <x:c r="D25" s="56"/>
      <x:c r="E25" s="56"/>
      <x:c r="F25" s="56"/>
      <x:c r="G25" s="56"/>
      <x:c r="H25" s="56"/>
      <x:c r="I25" s="56"/>
      <x:c r="J25" s="56"/>
      <x:c r="K25" s="56"/>
      <x:c r="L25" s="56"/>
      <x:c r="M25" s="56"/>
      <x:c r="N25" s="56"/>
      <x:c r="O25" s="56"/>
      <x:c r="P25" s="56"/>
      <x:c r="Q25" s="56"/>
      <x:c r="R25" s="56"/>
      <x:c r="S25" s="56"/>
      <x:c r="T25" s="56"/>
      <x:c r="U25" s="56"/>
      <x:c r="V25" s="56"/>
      <x:c r="W25" s="56"/>
    </x:row>
    <x:row r="26" ht="25" customHeight="1">
      <x:c r="A26" s="56"/>
      <x:c r="B26" s="56"/>
      <x:c r="C26" s="56"/>
      <x:c r="D26" s="56"/>
      <x:c r="E26" s="56"/>
      <x:c r="F26" s="56"/>
      <x:c r="G26" s="56"/>
      <x:c r="H26" s="56"/>
      <x:c r="I26" s="56"/>
      <x:c r="J26" s="56"/>
      <x:c r="K26" s="56"/>
      <x:c r="L26" s="56"/>
      <x:c r="M26" s="56"/>
      <x:c r="N26" s="56"/>
      <x:c r="O26" s="56"/>
      <x:c r="P26" s="56"/>
      <x:c r="Q26" s="56"/>
      <x:c r="R26" s="56"/>
      <x:c r="S26" s="56"/>
      <x:c r="T26" s="56"/>
      <x:c r="U26" s="56"/>
      <x:c r="V26" s="56"/>
      <x:c r="W26" s="56"/>
    </x:row>
    <x:row r="27" ht="25" customHeight="1">
      <x:c r="A27" s="56" t="str">
        <x:v>例の追加配置：1F-23は22時〜翌1時、2F-24は翌1時〜4時。担当フロアへの応援対応可を仮定。</x:v>
      </x:c>
      <x:c r="B27" s="56"/>
      <x:c r="C27" s="56"/>
      <x:c r="D27" s="56"/>
      <x:c r="E27" s="56"/>
      <x:c r="F27" s="56"/>
      <x:c r="G27" s="56"/>
      <x:c r="H27" s="56"/>
      <x:c r="I27" s="56"/>
      <x:c r="J27" s="56"/>
      <x:c r="K27" s="56"/>
      <x:c r="L27" s="56"/>
      <x:c r="M27" s="56"/>
      <x:c r="N27" s="56"/>
      <x:c r="O27" s="56"/>
      <x:c r="P27" s="56"/>
      <x:c r="Q27" s="56"/>
      <x:c r="R27" s="56"/>
      <x:c r="S27" s="56"/>
      <x:c r="T27" s="56"/>
      <x:c r="U27" s="56"/>
      <x:c r="V27" s="56"/>
      <x:c r="W27" s="56"/>
    </x:row>
    <x:row r="28" ht="25" customHeight="1">
      <x:c r="A28" s="56"/>
      <x:c r="B28" s="56"/>
      <x:c r="C28" s="56"/>
      <x:c r="D28" s="56"/>
      <x:c r="E28" s="56"/>
      <x:c r="F28" s="56"/>
      <x:c r="G28" s="56"/>
      <x:c r="H28" s="56"/>
      <x:c r="I28" s="56"/>
      <x:c r="J28" s="56"/>
      <x:c r="K28" s="56"/>
      <x:c r="L28" s="56"/>
      <x:c r="M28" s="56"/>
      <x:c r="N28" s="56"/>
      <x:c r="O28" s="56"/>
      <x:c r="P28" s="56"/>
      <x:c r="Q28" s="56"/>
      <x:c r="R28" s="56"/>
      <x:c r="S28" s="56"/>
      <x:c r="T28" s="56"/>
      <x:c r="U28" s="56"/>
      <x:c r="V28" s="56"/>
      <x:c r="W28" s="56"/>
    </x:row>
    <x:row r="29" ht="25" customHeight="1">
      <x:c r="A29" s="56" t="str">
        <x:v>休憩中の呼び出しは割り当てず、勤務中の担当者と統括で対応します。</x:v>
      </x:c>
      <x:c r="B29" s="56"/>
      <x:c r="C29" s="56"/>
      <x:c r="D29" s="56"/>
      <x:c r="E29" s="56"/>
      <x:c r="F29" s="56"/>
      <x:c r="G29" s="56"/>
      <x:c r="H29" s="56"/>
      <x:c r="I29" s="56"/>
      <x:c r="J29" s="56"/>
      <x:c r="K29" s="56"/>
      <x:c r="L29" s="56"/>
      <x:c r="M29" s="56"/>
      <x:c r="N29" s="56"/>
      <x:c r="O29" s="56"/>
      <x:c r="P29" s="56"/>
      <x:c r="Q29" s="56"/>
      <x:c r="R29" s="56"/>
      <x:c r="S29" s="56"/>
      <x:c r="T29" s="56"/>
      <x:c r="U29" s="56"/>
      <x:c r="V29" s="56"/>
      <x:c r="W29" s="56"/>
    </x:row>
    <x:row r="30" ht="25" customHeight="1">
      <x:c r="A30" s="56"/>
      <x:c r="B30" s="56"/>
      <x:c r="C30" s="56"/>
      <x:c r="D30" s="56"/>
      <x:c r="E30" s="56"/>
      <x:c r="F30" s="56"/>
      <x:c r="G30" s="56"/>
      <x:c r="H30" s="56"/>
      <x:c r="I30" s="56"/>
      <x:c r="J30" s="56"/>
      <x:c r="K30" s="56"/>
      <x:c r="L30" s="56"/>
      <x:c r="M30" s="56"/>
      <x:c r="N30" s="56"/>
      <x:c r="O30" s="56"/>
      <x:c r="P30" s="56"/>
      <x:c r="Q30" s="56"/>
      <x:c r="R30" s="56"/>
      <x:c r="S30" s="56"/>
      <x:c r="T30" s="56"/>
      <x:c r="U30" s="56"/>
      <x:c r="V30" s="56"/>
      <x:c r="W30" s="56"/>
    </x:row>
    <x:row r="31" ht="25" customHeight="1">
      <x:c r="A31" s="56" t="str">
        <x:v>食事休憩・申し送り・移動時間と、この配置を毎日確保できるかは別途検証します。</x:v>
      </x:c>
      <x:c r="B31" s="56"/>
      <x:c r="C31" s="56"/>
      <x:c r="D31" s="56"/>
      <x:c r="E31" s="56"/>
      <x:c r="F31" s="56"/>
      <x:c r="G31" s="56"/>
      <x:c r="H31" s="56"/>
      <x:c r="I31" s="56"/>
      <x:c r="J31" s="56"/>
      <x:c r="K31" s="56"/>
      <x:c r="L31" s="56"/>
      <x:c r="M31" s="56"/>
      <x:c r="N31" s="56"/>
      <x:c r="O31" s="56"/>
      <x:c r="P31" s="56"/>
      <x:c r="Q31" s="56"/>
      <x:c r="R31" s="56"/>
      <x:c r="S31" s="56"/>
      <x:c r="T31" s="56"/>
      <x:c r="U31" s="56"/>
      <x:c r="V31" s="56"/>
      <x:c r="W31" s="56"/>
    </x:row>
    <x:row r="32" ht="25" customHeight="1">
      <x:c r="A32" s="56"/>
      <x:c r="B32" s="56"/>
      <x:c r="C32" s="56"/>
      <x:c r="D32" s="56"/>
      <x:c r="E32" s="56"/>
      <x:c r="F32" s="56"/>
      <x:c r="G32" s="56"/>
      <x:c r="H32" s="56"/>
      <x:c r="I32" s="56"/>
      <x:c r="J32" s="56"/>
      <x:c r="K32" s="56"/>
      <x:c r="L32" s="56"/>
      <x:c r="M32" s="56"/>
      <x:c r="N32" s="56"/>
      <x:c r="O32" s="56"/>
      <x:c r="P32" s="56"/>
      <x:c r="Q32" s="56"/>
      <x:c r="R32" s="56"/>
      <x:c r="S32" s="56"/>
      <x:c r="T32" s="56"/>
      <x:c r="U32" s="56"/>
      <x:c r="V32" s="56"/>
      <x:c r="W32" s="56"/>
    </x:row>
    <x:row r="33" ht="25" customHeight="1">
      <x:c r="A33" s="56"/>
      <x:c r="B33" s="56"/>
      <x:c r="C33" s="56"/>
      <x:c r="D33" s="56"/>
      <x:c r="E33" s="56"/>
      <x:c r="F33" s="56"/>
      <x:c r="G33" s="56"/>
      <x:c r="H33" s="56"/>
      <x:c r="I33" s="56"/>
      <x:c r="J33" s="56"/>
      <x:c r="K33" s="56"/>
      <x:c r="L33" s="56"/>
      <x:c r="M33" s="56"/>
      <x:c r="N33" s="56"/>
      <x:c r="O33" s="56"/>
      <x:c r="P33" s="56"/>
      <x:c r="Q33" s="56"/>
      <x:c r="R33" s="56"/>
      <x:c r="S33" s="56"/>
      <x:c r="T33" s="56"/>
      <x:c r="U33" s="56"/>
      <x:c r="V33" s="56"/>
      <x:c r="W33" s="56"/>
    </x:row>
  </x:sheetData>
  <x:conditionalFormatting sqref="C15:V24">
    <x:cfRule type="containsText" dxfId="5" priority="1" operator="containsText" text="仮眠"/>
    <x:cfRule type="containsText" dxfId="6" priority="2" operator="containsText" text="統括"/>
    <x:cfRule type="containsText" dxfId="7" priority="3" operator="containsText" text="非勤務"/>
  </x:conditionalFormatting>
  <x:conditionalFormatting sqref="C10:V10">
    <x:cfRule type="containsText" dxfId="8" priority="4" operator="containsText" text="不足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3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26" customHeight="1">
      <x:c r="A1" s="56"/>
      <x:c r="B1" s="56"/>
      <x:c r="C1" s="56"/>
      <x:c r="D1" s="56"/>
      <x:c r="E1" s="56"/>
      <x:c r="F1" s="56"/>
      <x:c r="G1" s="56"/>
      <x:c r="H1" s="56"/>
      <x:c r="I1" s="56"/>
      <x:c r="J1" s="56"/>
    </x:row>
    <x:row r="2" ht="26" customHeight="1">
      <x:c r="A2" s="57" t="str">
        <x:v>管理者週間レビュー｜10月5日～11日</x:v>
      </x:c>
      <x:c r="B2" s="56"/>
      <x:c r="C2" s="56"/>
      <x:c r="D2" s="56"/>
      <x:c r="E2" s="56"/>
      <x:c r="F2" s="56"/>
      <x:c r="G2" s="56"/>
      <x:c r="H2" s="56"/>
      <x:c r="I2" s="56"/>
      <x:c r="J2" s="56"/>
    </x:row>
    <x:row r="3" ht="26" customHeight="1">
      <x:c r="A3" s="87" t="str">
        <x:v>確認中・配布不可｜架空のNG検出用サンプル。法定配置や勤務表全体の適否を判定するものではありません。</x:v>
      </x:c>
      <x:c r="B3" s="56"/>
      <x:c r="C3" s="56"/>
      <x:c r="D3" s="56"/>
      <x:c r="E3" s="56"/>
      <x:c r="F3" s="56"/>
      <x:c r="G3" s="56"/>
      <x:c r="H3" s="56"/>
      <x:c r="I3" s="56"/>
      <x:c r="J3" s="56"/>
    </x:row>
    <x:row r="4" ht="26" customHeight="1">
      <x:c r="A4" s="56"/>
      <x:c r="B4" s="56"/>
      <x:c r="C4" s="56"/>
      <x:c r="D4" s="56"/>
      <x:c r="E4" s="56"/>
      <x:c r="F4" s="56"/>
      <x:c r="G4" s="56"/>
      <x:c r="H4" s="56"/>
      <x:c r="I4" s="56"/>
      <x:c r="J4" s="56"/>
    </x:row>
    <x:row r="5" ht="40" customHeight="1">
      <x:c r="A5" s="95" t="str">
        <x:v>確認項目</x:v>
      </x:c>
      <x:c r="B5" s="96" t="n">
        <x:v>46300</x:v>
      </x:c>
      <x:c r="C5" s="96" t="n">
        <x:v>46301</x:v>
      </x:c>
      <x:c r="D5" s="96" t="n">
        <x:v>46302</x:v>
      </x:c>
      <x:c r="E5" s="96" t="n">
        <x:v>46303</x:v>
      </x:c>
      <x:c r="F5" s="96" t="n">
        <x:v>46304</x:v>
      </x:c>
      <x:c r="G5" s="96" t="n">
        <x:v>46305</x:v>
      </x:c>
      <x:c r="H5" s="96" t="n">
        <x:v>46306</x:v>
      </x:c>
      <x:c r="I5" s="56"/>
      <x:c r="J5" s="56"/>
    </x:row>
    <x:row r="6" ht="40" customHeight="1">
      <x:c r="A6" s="95"/>
      <x:c r="B6" s="95" t="str">
        <x:v>月</x:v>
      </x:c>
      <x:c r="C6" s="95" t="str">
        <x:v>火</x:v>
      </x:c>
      <x:c r="D6" s="95" t="str">
        <x:v>水</x:v>
      </x:c>
      <x:c r="E6" s="95" t="str">
        <x:v>木</x:v>
      </x:c>
      <x:c r="F6" s="95" t="str">
        <x:v>金</x:v>
      </x:c>
      <x:c r="G6" s="95" t="str">
        <x:v>土</x:v>
      </x:c>
      <x:c r="H6" s="95" t="str">
        <x:v>日</x:v>
      </x:c>
      <x:c r="I6" s="56"/>
      <x:c r="J6" s="56"/>
    </x:row>
    <x:row r="7" ht="26" customHeight="1">
      <x:c r="A7" s="56" t="str">
        <x:v>1F 早番人数（最低4）</x:v>
      </x:c>
      <x:c r="B7" s="56" t="n">
        <x:f>COUNTIFS('週間仮シフト'!$B$7:$B$78,"1F",'週間仮シフト'!D$7:D$78,"早")</x:f>
        <x:v>4</x:v>
      </x:c>
      <x:c r="C7" s="56" t="n">
        <x:f>COUNTIFS('週間仮シフト'!$B$7:$B$78,"1F",'週間仮シフト'!E$7:E$78,"早")</x:f>
        <x:v>3</x:v>
      </x:c>
      <x:c r="D7" s="56" t="n">
        <x:f>COUNTIFS('週間仮シフト'!$B$7:$B$78,"1F",'週間仮シフト'!F$7:F$78,"早")</x:f>
        <x:v>4</x:v>
      </x:c>
      <x:c r="E7" s="56" t="n">
        <x:f>COUNTIFS('週間仮シフト'!$B$7:$B$78,"1F",'週間仮シフト'!G$7:G$78,"早")</x:f>
        <x:v>4</x:v>
      </x:c>
      <x:c r="F7" s="56" t="n">
        <x:f>COUNTIFS('週間仮シフト'!$B$7:$B$78,"1F",'週間仮シフト'!H$7:H$78,"早")</x:f>
        <x:v>4</x:v>
      </x:c>
      <x:c r="G7" s="56" t="n">
        <x:f>COUNTIFS('週間仮シフト'!$B$7:$B$78,"1F",'週間仮シフト'!I$7:I$78,"早")</x:f>
        <x:v>4</x:v>
      </x:c>
      <x:c r="H7" s="56" t="n">
        <x:f>COUNTIFS('週間仮シフト'!$B$7:$B$78,"1F",'週間仮シフト'!J$7:J$78,"早")</x:f>
        <x:v>4</x:v>
      </x:c>
      <x:c r="I7" s="56"/>
      <x:c r="J7" s="56"/>
    </x:row>
    <x:row r="8" ht="26" customHeight="1">
      <x:c r="A8" s="56" t="str">
        <x:v>2F 早番人数（最低4）</x:v>
      </x:c>
      <x:c r="B8" s="56" t="n">
        <x:f>COUNTIFS('週間仮シフト'!$B$7:$B$78,"2F",'週間仮シフト'!D$7:D$78,"早")</x:f>
        <x:v>4</x:v>
      </x:c>
      <x:c r="C8" s="56" t="n">
        <x:f>COUNTIFS('週間仮シフト'!$B$7:$B$78,"2F",'週間仮シフト'!E$7:E$78,"早")</x:f>
        <x:v>4</x:v>
      </x:c>
      <x:c r="D8" s="56" t="n">
        <x:f>COUNTIFS('週間仮シフト'!$B$7:$B$78,"2F",'週間仮シフト'!F$7:F$78,"早")</x:f>
        <x:v>4</x:v>
      </x:c>
      <x:c r="E8" s="56" t="n">
        <x:f>COUNTIFS('週間仮シフト'!$B$7:$B$78,"2F",'週間仮シフト'!G$7:G$78,"早")</x:f>
        <x:v>4</x:v>
      </x:c>
      <x:c r="F8" s="56" t="n">
        <x:f>COUNTIFS('週間仮シフト'!$B$7:$B$78,"2F",'週間仮シフト'!H$7:H$78,"早")</x:f>
        <x:v>4</x:v>
      </x:c>
      <x:c r="G8" s="56" t="n">
        <x:f>COUNTIFS('週間仮シフト'!$B$7:$B$78,"2F",'週間仮シフト'!I$7:I$78,"早")</x:f>
        <x:v>5</x:v>
      </x:c>
      <x:c r="H8" s="56" t="n">
        <x:f>COUNTIFS('週間仮シフト'!$B$7:$B$78,"2F",'週間仮シフト'!J$7:J$78,"早")</x:f>
        <x:v>4</x:v>
      </x:c>
      <x:c r="I8" s="56"/>
      <x:c r="J8" s="56"/>
    </x:row>
    <x:row r="9" ht="26" customHeight="1">
      <x:c r="A9" s="56" t="str">
        <x:v>3F 早番人数（最低4）</x:v>
      </x:c>
      <x:c r="B9" s="56" t="n">
        <x:f>COUNTIFS('週間仮シフト'!$B$7:$B$78,"3F",'週間仮シフト'!D$7:D$78,"早")</x:f>
        <x:v>4</x:v>
      </x:c>
      <x:c r="C9" s="56" t="n">
        <x:f>COUNTIFS('週間仮シフト'!$B$7:$B$78,"3F",'週間仮シフト'!E$7:E$78,"早")</x:f>
        <x:v>4</x:v>
      </x:c>
      <x:c r="D9" s="56" t="n">
        <x:f>COUNTIFS('週間仮シフト'!$B$7:$B$78,"3F",'週間仮シフト'!F$7:F$78,"早")</x:f>
        <x:v>4</x:v>
      </x:c>
      <x:c r="E9" s="56" t="n">
        <x:f>COUNTIFS('週間仮シフト'!$B$7:$B$78,"3F",'週間仮シフト'!G$7:G$78,"早")</x:f>
        <x:v>4</x:v>
      </x:c>
      <x:c r="F9" s="56" t="n">
        <x:f>COUNTIFS('週間仮シフト'!$B$7:$B$78,"3F",'週間仮シフト'!H$7:H$78,"早")</x:f>
        <x:v>4</x:v>
      </x:c>
      <x:c r="G9" s="56" t="n">
        <x:f>COUNTIFS('週間仮シフト'!$B$7:$B$78,"3F",'週間仮シフト'!I$7:I$78,"早")</x:f>
        <x:v>4</x:v>
      </x:c>
      <x:c r="H9" s="56" t="n">
        <x:f>COUNTIFS('週間仮シフト'!$B$7:$B$78,"3F",'週間仮シフト'!J$7:J$78,"早")</x:f>
        <x:v>4</x:v>
      </x:c>
      <x:c r="I9" s="56"/>
      <x:c r="J9" s="56"/>
    </x:row>
    <x:row r="10" ht="26" customHeight="1">
      <x:c r="A10" s="56" t="str">
        <x:v>1F 遅番人数（最低4）</x:v>
      </x:c>
      <x:c r="B10" s="56" t="n">
        <x:f>COUNTIFS('週間仮シフト'!$B$7:$B$78,"1F",'週間仮シフト'!D$7:D$78,"遅")</x:f>
        <x:v>4</x:v>
      </x:c>
      <x:c r="C10" s="56" t="n">
        <x:f>COUNTIFS('週間仮シフト'!$B$7:$B$78,"1F",'週間仮シフト'!E$7:E$78,"遅")</x:f>
        <x:v>4</x:v>
      </x:c>
      <x:c r="D10" s="56" t="n">
        <x:f>COUNTIFS('週間仮シフト'!$B$7:$B$78,"1F",'週間仮シフト'!F$7:F$78,"遅")</x:f>
        <x:v>4</x:v>
      </x:c>
      <x:c r="E10" s="56" t="n">
        <x:f>COUNTIFS('週間仮シフト'!$B$7:$B$78,"1F",'週間仮シフト'!G$7:G$78,"遅")</x:f>
        <x:v>3</x:v>
      </x:c>
      <x:c r="F10" s="56" t="n">
        <x:f>COUNTIFS('週間仮シフト'!$B$7:$B$78,"1F",'週間仮シフト'!H$7:H$78,"遅")</x:f>
        <x:v>4</x:v>
      </x:c>
      <x:c r="G10" s="56" t="n">
        <x:f>COUNTIFS('週間仮シフト'!$B$7:$B$78,"1F",'週間仮シフト'!I$7:I$78,"遅")</x:f>
        <x:v>4</x:v>
      </x:c>
      <x:c r="H10" s="56" t="n">
        <x:f>COUNTIFS('週間仮シフト'!$B$7:$B$78,"1F",'週間仮シフト'!J$7:J$78,"遅")</x:f>
        <x:v>4</x:v>
      </x:c>
      <x:c r="I10" s="56"/>
      <x:c r="J10" s="56"/>
    </x:row>
    <x:row r="11" ht="26" customHeight="1">
      <x:c r="A11" s="56" t="str">
        <x:v>2F 遅番人数（最低4）</x:v>
      </x:c>
      <x:c r="B11" s="56" t="n">
        <x:f>COUNTIFS('週間仮シフト'!$B$7:$B$78,"2F",'週間仮シフト'!D$7:D$78,"遅")</x:f>
        <x:v>4</x:v>
      </x:c>
      <x:c r="C11" s="56" t="n">
        <x:f>COUNTIFS('週間仮シフト'!$B$7:$B$78,"2F",'週間仮シフト'!E$7:E$78,"遅")</x:f>
        <x:v>4</x:v>
      </x:c>
      <x:c r="D11" s="56" t="n">
        <x:f>COUNTIFS('週間仮シフト'!$B$7:$B$78,"2F",'週間仮シフト'!F$7:F$78,"遅")</x:f>
        <x:v>4</x:v>
      </x:c>
      <x:c r="E11" s="56" t="n">
        <x:f>COUNTIFS('週間仮シフト'!$B$7:$B$78,"2F",'週間仮シフト'!G$7:G$78,"遅")</x:f>
        <x:v>4</x:v>
      </x:c>
      <x:c r="F11" s="56" t="n">
        <x:f>COUNTIFS('週間仮シフト'!$B$7:$B$78,"2F",'週間仮シフト'!H$7:H$78,"遅")</x:f>
        <x:v>4</x:v>
      </x:c>
      <x:c r="G11" s="56" t="n">
        <x:f>COUNTIFS('週間仮シフト'!$B$7:$B$78,"2F",'週間仮シフト'!I$7:I$78,"遅")</x:f>
        <x:v>4</x:v>
      </x:c>
      <x:c r="H11" s="56" t="n">
        <x:f>COUNTIFS('週間仮シフト'!$B$7:$B$78,"2F",'週間仮シフト'!J$7:J$78,"遅")</x:f>
        <x:v>4</x:v>
      </x:c>
      <x:c r="I11" s="56"/>
      <x:c r="J11" s="56"/>
    </x:row>
    <x:row r="12" ht="26" customHeight="1">
      <x:c r="A12" s="56" t="str">
        <x:v>3F 遅番人数（最低4）</x:v>
      </x:c>
      <x:c r="B12" s="56" t="n">
        <x:f>COUNTIFS('週間仮シフト'!$B$7:$B$78,"3F",'週間仮シフト'!D$7:D$78,"遅")</x:f>
        <x:v>4</x:v>
      </x:c>
      <x:c r="C12" s="56" t="n">
        <x:f>COUNTIFS('週間仮シフト'!$B$7:$B$78,"3F",'週間仮シフト'!E$7:E$78,"遅")</x:f>
        <x:v>4</x:v>
      </x:c>
      <x:c r="D12" s="56" t="n">
        <x:f>COUNTIFS('週間仮シフト'!$B$7:$B$78,"3F",'週間仮シフト'!F$7:F$78,"遅")</x:f>
        <x:v>4</x:v>
      </x:c>
      <x:c r="E12" s="56" t="n">
        <x:f>COUNTIFS('週間仮シフト'!$B$7:$B$78,"3F",'週間仮シフト'!G$7:G$78,"遅")</x:f>
        <x:v>4</x:v>
      </x:c>
      <x:c r="F12" s="56" t="n">
        <x:f>COUNTIFS('週間仮シフト'!$B$7:$B$78,"3F",'週間仮シフト'!H$7:H$78,"遅")</x:f>
        <x:v>4</x:v>
      </x:c>
      <x:c r="G12" s="56" t="n">
        <x:f>COUNTIFS('週間仮シフト'!$B$7:$B$78,"3F",'週間仮シフト'!I$7:I$78,"遅")</x:f>
        <x:v>4</x:v>
      </x:c>
      <x:c r="H12" s="56" t="n">
        <x:f>COUNTIFS('週間仮シフト'!$B$7:$B$78,"3F",'週間仮シフト'!J$7:J$78,"遅")</x:f>
        <x:v>4</x:v>
      </x:c>
      <x:c r="I12" s="56"/>
      <x:c r="J12" s="56"/>
    </x:row>
    <x:row r="13" ht="26" customHeight="1">
      <x:c r="A13" s="56" t="str">
        <x:v>日勤人数（全館）</x:v>
      </x:c>
      <x:c r="B13" s="56" t="n">
        <x:f>COUNTIFS('週間仮シフト'!D$7:D$78,"日")</x:f>
        <x:v>0</x:v>
      </x:c>
      <x:c r="C13" s="56" t="n">
        <x:f>COUNTIFS('週間仮シフト'!E$7:E$78,"日")</x:f>
        <x:v>3</x:v>
      </x:c>
      <x:c r="D13" s="56" t="n">
        <x:f>COUNTIFS('週間仮シフト'!F$7:F$78,"日")</x:f>
        <x:v>0</x:v>
      </x:c>
      <x:c r="E13" s="56" t="n">
        <x:f>COUNTIFS('週間仮シフト'!G$7:G$78,"日")</x:f>
        <x:v>2</x:v>
      </x:c>
      <x:c r="F13" s="56" t="n">
        <x:f>COUNTIFS('週間仮シフト'!H$7:H$78,"日")</x:f>
        <x:v>0</x:v>
      </x:c>
      <x:c r="G13" s="56" t="n">
        <x:f>COUNTIFS('週間仮シフト'!I$7:I$78,"日")</x:f>
        <x:v>0</x:v>
      </x:c>
      <x:c r="H13" s="56" t="n">
        <x:f>COUNTIFS('週間仮シフト'!J$7:J$78,"日")</x:f>
        <x:v>0</x:v>
      </x:c>
      <x:c r="I13" s="56"/>
      <x:c r="J13" s="56"/>
    </x:row>
    <x:row r="14" ht="26" customHeight="1">
      <x:c r="A14" s="56" t="str">
        <x:v>午前／午後パート人数</x:v>
      </x:c>
      <x:c r="B14" s="56" t="n">
        <x:f>COUNTIFS('週間仮シフト'!D$7:D$78,"午")+COUNTIFS('週間仮シフト'!D$7:D$78,"後")</x:f>
        <x:v>6</x:v>
      </x:c>
      <x:c r="C14" s="56" t="n">
        <x:f>COUNTIFS('週間仮シフト'!E$7:E$78,"午")+COUNTIFS('週間仮シフト'!E$7:E$78,"後")</x:f>
        <x:v>6</x:v>
      </x:c>
      <x:c r="D14" s="56" t="n">
        <x:f>COUNTIFS('週間仮シフト'!F$7:F$78,"午")+COUNTIFS('週間仮シフト'!F$7:F$78,"後")</x:f>
        <x:v>6</x:v>
      </x:c>
      <x:c r="E14" s="56" t="n">
        <x:f>COUNTIFS('週間仮シフト'!G$7:G$78,"午")+COUNTIFS('週間仮シフト'!G$7:G$78,"後")</x:f>
        <x:v>6</x:v>
      </x:c>
      <x:c r="F14" s="56" t="n">
        <x:f>COUNTIFS('週間仮シフト'!H$7:H$78,"午")+COUNTIFS('週間仮シフト'!H$7:H$78,"後")</x:f>
        <x:v>6</x:v>
      </x:c>
      <x:c r="G14" s="56" t="n">
        <x:f>COUNTIFS('週間仮シフト'!I$7:I$78,"午")+COUNTIFS('週間仮シフト'!I$7:I$78,"後")</x:f>
        <x:v>6</x:v>
      </x:c>
      <x:c r="H14" s="56" t="n">
        <x:f>COUNTIFS('週間仮シフト'!J$7:J$78,"午")+COUNTIFS('週間仮シフト'!J$7:J$78,"後")</x:f>
        <x:v>6</x:v>
      </x:c>
      <x:c r="I14" s="56"/>
      <x:c r="J14" s="56"/>
    </x:row>
    <x:row r="15" ht="26" customHeight="1">
      <x:c r="A15" s="56" t="str">
        <x:v>夜勤フロア担当（最低6）</x:v>
      </x:c>
      <x:c r="B15" s="56" t="n">
        <x:f>COUNTIFS('週間仮シフト'!D$7:D$78,"夜")</x:f>
        <x:v>6</x:v>
      </x:c>
      <x:c r="C15" s="56" t="n">
        <x:f>COUNTIFS('週間仮シフト'!E$7:E$78,"夜")</x:f>
        <x:v>6</x:v>
      </x:c>
      <x:c r="D15" s="56" t="n">
        <x:f>COUNTIFS('週間仮シフト'!F$7:F$78,"夜")</x:f>
        <x:v>6</x:v>
      </x:c>
      <x:c r="E15" s="56" t="n">
        <x:f>COUNTIFS('週間仮シフト'!G$7:G$78,"夜")</x:f>
        <x:v>6</x:v>
      </x:c>
      <x:c r="F15" s="56" t="n">
        <x:f>COUNTIFS('週間仮シフト'!H$7:H$78,"夜")</x:f>
        <x:v>6</x:v>
      </x:c>
      <x:c r="G15" s="56" t="n">
        <x:f>COUNTIFS('週間仮シフト'!I$7:I$78,"夜")</x:f>
        <x:v>6</x:v>
      </x:c>
      <x:c r="H15" s="56" t="n">
        <x:f>COUNTIFS('週間仮シフト'!J$7:J$78,"夜")</x:f>
        <x:v>6</x:v>
      </x:c>
      <x:c r="I15" s="56"/>
      <x:c r="J15" s="56"/>
    </x:row>
    <x:row r="16" ht="26" customHeight="1">
      <x:c r="A16" s="56" t="str">
        <x:v>夜勤統括（最低2）</x:v>
      </x:c>
      <x:c r="B16" s="56" t="n">
        <x:f>COUNTIFS('週間仮シフト'!D$7:D$78,"統")</x:f>
        <x:v>2</x:v>
      </x:c>
      <x:c r="C16" s="56" t="n">
        <x:f>COUNTIFS('週間仮シフト'!E$7:E$78,"統")</x:f>
        <x:v>2</x:v>
      </x:c>
      <x:c r="D16" s="56" t="n">
        <x:f>COUNTIFS('週間仮シフト'!F$7:F$78,"統")</x:f>
        <x:v>2</x:v>
      </x:c>
      <x:c r="E16" s="56" t="n">
        <x:f>COUNTIFS('週間仮シフト'!G$7:G$78,"統")</x:f>
        <x:v>2</x:v>
      </x:c>
      <x:c r="F16" s="56" t="n">
        <x:f>COUNTIFS('週間仮シフト'!H$7:H$78,"統")</x:f>
        <x:v>2</x:v>
      </x:c>
      <x:c r="G16" s="56" t="n">
        <x:f>COUNTIFS('週間仮シフト'!I$7:I$78,"統")</x:f>
        <x:v>2</x:v>
      </x:c>
      <x:c r="H16" s="56" t="n">
        <x:f>COUNTIFS('週間仮シフト'!J$7:J$78,"統")</x:f>
        <x:v>2</x:v>
      </x:c>
      <x:c r="I16" s="56"/>
      <x:c r="J16" s="56"/>
    </x:row>
    <x:row r="17" ht="26" customHeight="1">
      <x:c r="A17" s="56" t="str">
        <x:v>夜間不足の30分枠数</x:v>
      </x:c>
      <x:c r="B17" s="56" t="n">
        <x:f>COUNTIFS('週間夜間配置'!C23:V23,"不足")</x:f>
        <x:v>0</x:v>
      </x:c>
      <x:c r="C17" s="56" t="n">
        <x:f>COUNTIFS('週間夜間配置'!C45:V45,"不足")</x:f>
        <x:v>0</x:v>
      </x:c>
      <x:c r="D17" s="56" t="n">
        <x:f>COUNTIFS('週間夜間配置'!C67:V67,"不足")</x:f>
        <x:v>2</x:v>
      </x:c>
      <x:c r="E17" s="56" t="n">
        <x:f>COUNTIFS('週間夜間配置'!C89:V89,"不足")</x:f>
        <x:v>0</x:v>
      </x:c>
      <x:c r="F17" s="56" t="n">
        <x:f>COUNTIFS('週間夜間配置'!C111:V111,"不足")</x:f>
        <x:v>0</x:v>
      </x:c>
      <x:c r="G17" s="56" t="n">
        <x:f>COUNTIFS('週間夜間配置'!C133:V133,"不足")</x:f>
        <x:v>0</x:v>
      </x:c>
      <x:c r="H17" s="56" t="n">
        <x:f>COUNTIFS('週間夜間配置'!C155:V155,"不足")</x:f>
        <x:v>0</x:v>
      </x:c>
      <x:c r="I17" s="56"/>
      <x:c r="J17" s="56"/>
    </x:row>
    <x:row r="18" ht="26" customHeight="1">
      <x:c r="A18" s="56" t="str">
        <x:v>夜勤不可の割当件数</x:v>
      </x:c>
      <x:c r="B18" s="56" t="n">
        <x:f>COUNTIFS('週間仮シフト'!D$7:D$78,"夜",'職員マスター'!$F$6:$F$77,"不可")+COUNTIFS('週間仮シフト'!D$7:D$78,"統",'職員マスター'!$F$6:$F$77,"不可")</x:f>
        <x:v>0</x:v>
      </x:c>
      <x:c r="C18" s="56" t="n">
        <x:f>COUNTIFS('週間仮シフト'!E$7:E$78,"夜",'職員マスター'!$F$6:$F$77,"不可")+COUNTIFS('週間仮シフト'!E$7:E$78,"統",'職員マスター'!$F$6:$F$77,"不可")</x:f>
        <x:v>0</x:v>
      </x:c>
      <x:c r="D18" s="56" t="n">
        <x:f>COUNTIFS('週間仮シフト'!F$7:F$78,"夜",'職員マスター'!$F$6:$F$77,"不可")+COUNTIFS('週間仮シフト'!F$7:F$78,"統",'職員マスター'!$F$6:$F$77,"不可")</x:f>
        <x:v>0</x:v>
      </x:c>
      <x:c r="E18" s="56" t="n">
        <x:f>COUNTIFS('週間仮シフト'!G$7:G$78,"夜",'職員マスター'!$F$6:$F$77,"不可")+COUNTIFS('週間仮シフト'!G$7:G$78,"統",'職員マスター'!$F$6:$F$77,"不可")</x:f>
        <x:v>1</x:v>
      </x:c>
      <x:c r="F18" s="56" t="n">
        <x:f>COUNTIFS('週間仮シフト'!H$7:H$78,"夜",'職員マスター'!$F$6:$F$77,"不可")+COUNTIFS('週間仮シフト'!H$7:H$78,"統",'職員マスター'!$F$6:$F$77,"不可")</x:f>
        <x:v>0</x:v>
      </x:c>
      <x:c r="G18" s="56" t="n">
        <x:f>COUNTIFS('週間仮シフト'!I$7:I$78,"夜",'職員マスター'!$F$6:$F$77,"不可")+COUNTIFS('週間仮シフト'!I$7:I$78,"統",'職員マスター'!$F$6:$F$77,"不可")</x:f>
        <x:v>0</x:v>
      </x:c>
      <x:c r="H18" s="56" t="n">
        <x:f>COUNTIFS('週間仮シフト'!J$7:J$78,"夜",'職員マスター'!$F$6:$F$77,"不可")+COUNTIFS('週間仮シフト'!J$7:J$78,"統",'職員マスター'!$F$6:$F$77,"不可")</x:f>
        <x:v>0</x:v>
      </x:c>
      <x:c r="I18" s="56"/>
      <x:c r="J18" s="56"/>
    </x:row>
    <x:row r="19" ht="26" customHeight="1">
      <x:c r="A19" s="56" t="str">
        <x:v>明け表示の矛盾件数</x:v>
      </x:c>
      <x:c r="B19" s="56" t="n">
        <x:f>SUMPRODUCT((('週間仮シフト'!C$7:C$78="夜")+('週間仮シフト'!C$7:C$78="統"))*('週間仮シフト'!D$7:D$78&lt;&gt;"明"))+SUMPRODUCT(('週間仮シフト'!C$7:C$78&lt;&gt;"夜")*('週間仮シフト'!C$7:C$78&lt;&gt;"統")*('週間仮シフト'!D$7:D$78="明"))</x:f>
        <x:v>0</x:v>
      </x:c>
      <x:c r="C19" s="56" t="n">
        <x:f>SUMPRODUCT((('週間仮シフト'!D$7:D$78="夜")+('週間仮シフト'!D$7:D$78="統"))*('週間仮シフト'!E$7:E$78&lt;&gt;"明"))+SUMPRODUCT(('週間仮シフト'!D$7:D$78&lt;&gt;"夜")*('週間仮シフト'!D$7:D$78&lt;&gt;"統")*('週間仮シフト'!E$7:E$78="明"))</x:f>
        <x:v>0</x:v>
      </x:c>
      <x:c r="D19" s="56" t="n">
        <x:f>SUMPRODUCT((('週間仮シフト'!E$7:E$78="夜")+('週間仮シフト'!E$7:E$78="統"))*('週間仮シフト'!F$7:F$78&lt;&gt;"明"))+SUMPRODUCT(('週間仮シフト'!E$7:E$78&lt;&gt;"夜")*('週間仮シフト'!E$7:E$78&lt;&gt;"統")*('週間仮シフト'!F$7:F$78="明"))</x:f>
        <x:v>0</x:v>
      </x:c>
      <x:c r="E19" s="56" t="n">
        <x:f>SUMPRODUCT((('週間仮シフト'!F$7:F$78="夜")+('週間仮シフト'!F$7:F$78="統"))*('週間仮シフト'!G$7:G$78&lt;&gt;"明"))+SUMPRODUCT(('週間仮シフト'!F$7:F$78&lt;&gt;"夜")*('週間仮シフト'!F$7:F$78&lt;&gt;"統")*('週間仮シフト'!G$7:G$78="明"))</x:f>
        <x:v>0</x:v>
      </x:c>
      <x:c r="F19" s="56" t="n">
        <x:f>SUMPRODUCT((('週間仮シフト'!G$7:G$78="夜")+('週間仮シフト'!G$7:G$78="統"))*('週間仮シフト'!H$7:H$78&lt;&gt;"明"))+SUMPRODUCT(('週間仮シフト'!G$7:G$78&lt;&gt;"夜")*('週間仮シフト'!G$7:G$78&lt;&gt;"統")*('週間仮シフト'!H$7:H$78="明"))</x:f>
        <x:v>2</x:v>
      </x:c>
      <x:c r="G19" s="56" t="n">
        <x:f>SUMPRODUCT((('週間仮シフト'!H$7:H$78="夜")+('週間仮シフト'!H$7:H$78="統"))*('週間仮シフト'!I$7:I$78&lt;&gt;"明"))+SUMPRODUCT(('週間仮シフト'!H$7:H$78&lt;&gt;"夜")*('週間仮シフト'!H$7:H$78&lt;&gt;"統")*('週間仮シフト'!I$7:I$78="明"))</x:f>
        <x:v>1</x:v>
      </x:c>
      <x:c r="H19" s="56" t="n">
        <x:f>SUMPRODUCT((('週間仮シフト'!I$7:I$78="夜")+('週間仮シフト'!I$7:I$78="統"))*('週間仮シフト'!J$7:J$78&lt;&gt;"明"))+SUMPRODUCT(('週間仮シフト'!I$7:I$78&lt;&gt;"夜")*('週間仮シフト'!I$7:I$78&lt;&gt;"統")*('週間仮シフト'!J$7:J$78="明"))</x:f>
        <x:v>0</x:v>
      </x:c>
      <x:c r="I19" s="56"/>
      <x:c r="J19" s="56"/>
    </x:row>
    <x:row r="20" ht="26" customHeight="1">
      <x:c r="A20" s="56" t="str">
        <x:v>希望休との不一致件数</x:v>
      </x:c>
      <x:c r="B20" s="56" t="n">
        <x:f>COUNTIFS('週間仮シフト'!$B$89,B$5,'週間仮シフト'!$E$89,"不一致")</x:f>
        <x:v>0</x:v>
      </x:c>
      <x:c r="C20" s="56" t="n">
        <x:f>COUNTIFS('週間仮シフト'!$B$89,C$5,'週間仮シフト'!$E$89,"不一致")</x:f>
        <x:v>0</x:v>
      </x:c>
      <x:c r="D20" s="56" t="n">
        <x:f>COUNTIFS('週間仮シフト'!$B$89,D$5,'週間仮シフト'!$E$89,"不一致")</x:f>
        <x:v>0</x:v>
      </x:c>
      <x:c r="E20" s="56" t="n">
        <x:f>COUNTIFS('週間仮シフト'!$B$89,E$5,'週間仮シフト'!$E$89,"不一致")</x:f>
        <x:v>0</x:v>
      </x:c>
      <x:c r="F20" s="56" t="n">
        <x:f>COUNTIFS('週間仮シフト'!$B$89,F$5,'週間仮シフト'!$E$89,"不一致")</x:f>
        <x:v>1</x:v>
      </x:c>
      <x:c r="G20" s="56" t="n">
        <x:f>COUNTIFS('週間仮シフト'!$B$89,G$5,'週間仮シフト'!$E$89,"不一致")</x:f>
        <x:v>0</x:v>
      </x:c>
      <x:c r="H20" s="56" t="n">
        <x:f>COUNTIFS('週間仮シフト'!$B$89,H$5,'週間仮シフト'!$E$89,"不一致")</x:f>
        <x:v>0</x:v>
      </x:c>
      <x:c r="I20" s="56"/>
      <x:c r="J20" s="56"/>
    </x:row>
    <x:row r="21" ht="26" customHeight="1">
      <x:c r="A21" s="56" t="str">
        <x:v>今回の検査結果</x:v>
      </x:c>
      <x:c r="B21" s="56" t="str">
        <x:f>IF(OR(B7&lt;'施設設定'!D17,B8&lt;'施設設定'!D18,B9&lt;'施設設定'!D19,B10&lt;'施設設定'!F17,B11&lt;'施設設定'!F18,B12&lt;'施設設定'!F19,B15&lt;6,B16&lt;2,SUM(B17:B20)&gt;0),"要修正","対象項目OK")</x:f>
        <x:v>対象項目OK</x:v>
      </x:c>
      <x:c r="C21" s="56" t="str">
        <x:f>IF(OR(C7&lt;'施設設定'!D17,C8&lt;'施設設定'!D18,C9&lt;'施設設定'!D19,C10&lt;'施設設定'!F17,C11&lt;'施設設定'!F18,C12&lt;'施設設定'!F19,C15&lt;6,C16&lt;2,SUM(C17:C20)&gt;0),"要修正","対象項目OK")</x:f>
        <x:v>要修正</x:v>
      </x:c>
      <x:c r="D21" s="56" t="str">
        <x:f>IF(OR(D7&lt;'施設設定'!D17,D8&lt;'施設設定'!D18,D9&lt;'施設設定'!D19,D10&lt;'施設設定'!F17,D11&lt;'施設設定'!F18,D12&lt;'施設設定'!F19,D15&lt;6,D16&lt;2,SUM(D17:D20)&gt;0),"要修正","対象項目OK")</x:f>
        <x:v>要修正</x:v>
      </x:c>
      <x:c r="E21" s="56" t="str">
        <x:f>IF(OR(E7&lt;'施設設定'!D17,E8&lt;'施設設定'!D18,E9&lt;'施設設定'!D19,E10&lt;'施設設定'!F17,E11&lt;'施設設定'!F18,E12&lt;'施設設定'!F19,E15&lt;6,E16&lt;2,SUM(E17:E20)&gt;0),"要修正","対象項目OK")</x:f>
        <x:v>要修正</x:v>
      </x:c>
      <x:c r="F21" s="56" t="str">
        <x:f>IF(OR(F7&lt;'施設設定'!D17,F8&lt;'施設設定'!D18,F9&lt;'施設設定'!D19,F10&lt;'施設設定'!F17,F11&lt;'施設設定'!F18,F12&lt;'施設設定'!F19,F15&lt;6,F16&lt;2,SUM(F17:F20)&gt;0),"要修正","対象項目OK")</x:f>
        <x:v>要修正</x:v>
      </x:c>
      <x:c r="G21" s="56" t="str">
        <x:f>IF(OR(G7&lt;'施設設定'!D17,G8&lt;'施設設定'!D18,G9&lt;'施設設定'!D19,G10&lt;'施設設定'!F17,G11&lt;'施設設定'!F18,G12&lt;'施設設定'!F19,G15&lt;6,G16&lt;2,SUM(G17:G20)&gt;0),"要修正","対象項目OK")</x:f>
        <x:v>要修正</x:v>
      </x:c>
      <x:c r="H21" s="56" t="str">
        <x:f>IF(OR(H7&lt;'施設設定'!D17,H8&lt;'施設設定'!D18,H9&lt;'施設設定'!D19,H10&lt;'施設設定'!F17,H11&lt;'施設設定'!F18,H12&lt;'施設設定'!F19,H15&lt;6,H16&lt;2,SUM(H17:H20)&gt;0),"要修正","対象項目OK")</x:f>
        <x:v>対象項目OK</x:v>
      </x:c>
      <x:c r="I21" s="56"/>
      <x:c r="J21" s="56"/>
    </x:row>
    <x:row r="22" ht="26" customHeight="1">
      <x:c r="A22" s="56"/>
      <x:c r="B22" s="56"/>
      <x:c r="C22" s="56"/>
      <x:c r="D22" s="56"/>
      <x:c r="E22" s="56"/>
      <x:c r="F22" s="56"/>
      <x:c r="G22" s="56"/>
      <x:c r="H22" s="56"/>
      <x:c r="I22" s="56"/>
      <x:c r="J22" s="56"/>
    </x:row>
    <x:row r="23" ht="26" customHeight="1">
      <x:c r="A23" s="56"/>
      <x:c r="B23" s="56"/>
      <x:c r="C23" s="56"/>
      <x:c r="D23" s="56"/>
      <x:c r="E23" s="56"/>
      <x:c r="F23" s="56"/>
      <x:c r="G23" s="56"/>
      <x:c r="H23" s="56"/>
      <x:c r="I23" s="56"/>
      <x:c r="J23" s="56"/>
    </x:row>
    <x:row r="24" ht="40" customHeight="1">
      <x:c r="A24" s="95" t="str">
        <x:v>週全体の追加確認</x:v>
      </x:c>
      <x:c r="B24" s="95" t="str">
        <x:v>対象人数</x:v>
      </x:c>
      <x:c r="C24" s="95" t="str">
        <x:v>扱い</x:v>
      </x:c>
      <x:c r="D24" s="56" t="str"/>
      <x:c r="E24" s="56"/>
      <x:c r="F24" s="56"/>
      <x:c r="G24" s="56"/>
      <x:c r="H24" s="56"/>
      <x:c r="I24" s="56"/>
      <x:c r="J24" s="56"/>
    </x:row>
    <x:row r="25" ht="26" customHeight="1">
      <x:c r="A25" s="56" t="str">
        <x:v>契約時間を超える候補</x:v>
      </x:c>
      <x:c r="B25" s="56" t="n">
        <x:f>COUNTIFS('週間仮シフト'!N7:N78,"&gt;0")</x:f>
        <x:v>35</x:v>
      </x:c>
      <x:c r="C25" s="56" t="str">
        <x:v>開始日でまとめた参考比較</x:v>
      </x:c>
      <x:c r="D25" s="56"/>
      <x:c r="E25" s="56"/>
      <x:c r="F25" s="56"/>
      <x:c r="G25" s="56"/>
      <x:c r="H25" s="56"/>
      <x:c r="I25" s="56"/>
      <x:c r="J25" s="56"/>
    </x:row>
    <x:row r="26" ht="26" customHeight="1">
      <x:c r="A26" s="56" t="str">
        <x:v>勤務コードが条件外</x:v>
      </x:c>
      <x:c r="B26" s="56" t="n">
        <x:f>COUNTIFS('週間仮シフト'!P7:P78,"&gt;0")</x:f>
        <x:v>1</x:v>
      </x:c>
      <x:c r="C26" s="56" t="str">
        <x:v>週間仮シフトP列で確認</x:v>
      </x:c>
      <x:c r="D26" s="56"/>
      <x:c r="E26" s="56"/>
      <x:c r="F26" s="56"/>
      <x:c r="G26" s="56"/>
      <x:c r="H26" s="56"/>
      <x:c r="I26" s="56"/>
      <x:c r="J26" s="56"/>
    </x:row>
    <x:row r="27" ht="26" customHeight="1">
      <x:c r="A27" s="56" t="str">
        <x:v>夜勤不可の割当あり</x:v>
      </x:c>
      <x:c r="B27" s="56" t="n">
        <x:f>COUNTIFS('週間仮シフト'!O7:O78,"&gt;0")</x:f>
        <x:v>1</x:v>
      </x:c>
      <x:c r="C27" s="56" t="str">
        <x:v>週間仮シフトO列で確認</x:v>
      </x:c>
      <x:c r="D27" s="56"/>
      <x:c r="E27" s="56"/>
      <x:c r="F27" s="56"/>
      <x:c r="G27" s="56"/>
      <x:c r="H27" s="56"/>
      <x:c r="I27" s="56"/>
      <x:c r="J27" s="56"/>
    </x:row>
    <x:row r="28" ht="26" customHeight="1">
      <x:c r="A28" s="56"/>
      <x:c r="B28" s="56"/>
      <x:c r="C28" s="56"/>
      <x:c r="D28" s="56"/>
      <x:c r="E28" s="56"/>
      <x:c r="F28" s="56"/>
      <x:c r="G28" s="56"/>
      <x:c r="H28" s="56"/>
      <x:c r="I28" s="56"/>
      <x:c r="J28" s="56"/>
    </x:row>
    <x:row r="29" ht="26" customHeight="1">
      <x:c r="A29" s="56" t="str">
        <x:v>曜日別に仕込んだ確認ポイント（他の矛盾も検出対象）</x:v>
      </x:c>
      <x:c r="B29" s="56"/>
      <x:c r="C29" s="56"/>
      <x:c r="D29" s="56"/>
      <x:c r="E29" s="56"/>
      <x:c r="F29" s="56"/>
      <x:c r="G29" s="56"/>
      <x:c r="H29" s="56"/>
      <x:c r="I29" s="56"/>
      <x:c r="J29" s="56"/>
    </x:row>
    <x:row r="30" ht="26" customHeight="1">
      <x:c r="A30" s="56" t="str">
        <x:v>10/5（月）</x:v>
      </x:c>
      <x:c r="B30" s="56" t="str">
        <x:v>基準例（検査対象の確認）</x:v>
      </x:c>
      <x:c r="C30" s="56"/>
      <x:c r="D30" s="56"/>
      <x:c r="E30" s="56"/>
      <x:c r="F30" s="56"/>
      <x:c r="G30" s="56"/>
      <x:c r="H30" s="56"/>
      <x:c r="I30" s="56"/>
      <x:c r="J30" s="56"/>
    </x:row>
    <x:row r="31" ht="26" customHeight="1">
      <x:c r="A31" s="56" t="str">
        <x:v>10/6（火）</x:v>
      </x:c>
      <x:c r="B31" s="56" t="str">
        <x:v>1F早番を1人減らす</x:v>
      </x:c>
      <x:c r="C31" s="56"/>
      <x:c r="D31" s="56"/>
      <x:c r="E31" s="56"/>
      <x:c r="F31" s="56"/>
      <x:c r="G31" s="56"/>
      <x:c r="H31" s="56"/>
      <x:c r="I31" s="56"/>
      <x:c r="J31" s="56"/>
    </x:row>
    <x:row r="32" ht="26" customHeight="1">
      <x:c r="A32" s="56" t="str">
        <x:v>10/7（水）</x:v>
      </x:c>
      <x:c r="B32" s="56" t="str">
        <x:v>1Fの仮眠を同時刻に重ねる</x:v>
      </x:c>
      <x:c r="C32" s="56"/>
      <x:c r="D32" s="56"/>
      <x:c r="E32" s="56"/>
      <x:c r="F32" s="56"/>
      <x:c r="G32" s="56"/>
      <x:c r="H32" s="56"/>
      <x:c r="I32" s="56"/>
      <x:c r="J32" s="56"/>
    </x:row>
    <x:row r="33" ht="26" customHeight="1">
      <x:c r="A33" s="56" t="str">
        <x:v>10/8（木）</x:v>
      </x:c>
      <x:c r="B33" s="56" t="str">
        <x:v>夜勤不可の職員に夜勤を割り当てる</x:v>
      </x:c>
      <x:c r="C33" s="56"/>
      <x:c r="D33" s="56"/>
      <x:c r="E33" s="56"/>
      <x:c r="F33" s="56"/>
      <x:c r="G33" s="56"/>
      <x:c r="H33" s="56"/>
      <x:c r="I33" s="56"/>
      <x:c r="J33" s="56"/>
    </x:row>
    <x:row r="34" ht="26" customHeight="1">
      <x:c r="A34" s="56" t="str">
        <x:v>10/9（金）</x:v>
      </x:c>
      <x:c r="B34" s="56" t="str">
        <x:v>希望休の日に早番を割り当てる</x:v>
      </x:c>
      <x:c r="C34" s="56"/>
      <x:c r="D34" s="56"/>
      <x:c r="E34" s="56"/>
      <x:c r="F34" s="56"/>
      <x:c r="G34" s="56"/>
      <x:c r="H34" s="56"/>
      <x:c r="I34" s="56"/>
      <x:c r="J34" s="56"/>
    </x:row>
    <x:row r="35" ht="26" customHeight="1">
      <x:c r="A35" s="56" t="str">
        <x:v>10/10（土）</x:v>
      </x:c>
      <x:c r="B35" s="56" t="str">
        <x:v>前日夜勤の翌日に早番を割り当てる</x:v>
      </x:c>
      <x:c r="C35" s="56"/>
      <x:c r="D35" s="56"/>
      <x:c r="E35" s="56"/>
      <x:c r="F35" s="56"/>
      <x:c r="G35" s="56"/>
      <x:c r="H35" s="56"/>
      <x:c r="I35" s="56"/>
      <x:c r="J35" s="56"/>
    </x:row>
    <x:row r="36" ht="26" customHeight="1">
      <x:c r="A36" s="56" t="str">
        <x:v>10/11（日）</x:v>
      </x:c>
      <x:c r="B36" s="56" t="str">
        <x:v>基準例（週全体の負荷も確認）</x:v>
      </x:c>
      <x:c r="C36" s="56"/>
      <x:c r="D36" s="56"/>
      <x:c r="E36" s="56"/>
      <x:c r="F36" s="56"/>
      <x:c r="G36" s="56"/>
      <x:c r="H36" s="56"/>
      <x:c r="I36" s="56"/>
      <x:c r="J36" s="56"/>
    </x:row>
    <x:row r="37" ht="26" customHeight="1">
      <x:c r="A37" s="56"/>
      <x:c r="B37" s="56"/>
      <x:c r="C37" s="56"/>
      <x:c r="D37" s="56"/>
      <x:c r="E37" s="56"/>
      <x:c r="F37" s="56"/>
      <x:c r="G37" s="56"/>
      <x:c r="H37" s="56"/>
      <x:c r="I37" s="56"/>
      <x:c r="J37" s="56"/>
    </x:row>
    <x:row r="38" ht="26" customHeight="1">
      <x:c r="A38" s="56" t="str">
        <x:v>早・遅の人数は勤務コードの人数です。休憩中の実配置・日中の時間帯別補完は未検査です。</x:v>
      </x:c>
      <x:c r="B38" s="56"/>
      <x:c r="C38" s="56"/>
      <x:c r="D38" s="56"/>
      <x:c r="E38" s="56"/>
      <x:c r="F38" s="56"/>
      <x:c r="G38" s="56"/>
      <x:c r="H38" s="56"/>
      <x:c r="I38" s="56"/>
      <x:c r="J38" s="56"/>
    </x:row>
    <x:row r="39" ht="26" customHeight="1">
      <x:c r="A39" s="56"/>
      <x:c r="B39" s="56"/>
      <x:c r="C39" s="56"/>
      <x:c r="D39" s="56"/>
      <x:c r="E39" s="56"/>
      <x:c r="F39" s="56"/>
      <x:c r="G39" s="56"/>
      <x:c r="H39" s="56"/>
      <x:c r="I39" s="56"/>
      <x:c r="J39" s="56"/>
    </x:row>
    <x:row r="40" ht="26" customHeight="1">
      <x:c r="A40" s="56" t="str">
        <x:v>対象項目OKでも配布承認ではありません。食事休憩、休暇残数、月上限、前後月との整合は未確認です。</x:v>
      </x:c>
      <x:c r="B40" s="56"/>
      <x:c r="C40" s="56"/>
      <x:c r="D40" s="56"/>
      <x:c r="E40" s="56"/>
      <x:c r="F40" s="56"/>
      <x:c r="G40" s="56"/>
      <x:c r="H40" s="56"/>
      <x:c r="I40" s="56"/>
      <x:c r="J40" s="56"/>
    </x:row>
    <x:row r="41" ht="26" customHeight="1">
      <x:c r="A41" s="56"/>
      <x:c r="B41" s="56"/>
      <x:c r="C41" s="56"/>
      <x:c r="D41" s="56"/>
      <x:c r="E41" s="56"/>
      <x:c r="F41" s="56"/>
      <x:c r="G41" s="56"/>
      <x:c r="H41" s="56"/>
      <x:c r="I41" s="56"/>
      <x:c r="J41" s="56"/>
    </x:row>
  </x:sheetData>
  <x:conditionalFormatting sqref="B7:B7">
    <x:cfRule type="expression" dxfId="56" priority="1">
      <x:formula>B7&lt;'施設設定'!D17</x:formula>
    </x:cfRule>
  </x:conditionalFormatting>
  <x:conditionalFormatting sqref="B8:B8">
    <x:cfRule type="expression" dxfId="57" priority="2">
      <x:formula>B8&lt;'施設設定'!D18</x:formula>
    </x:cfRule>
  </x:conditionalFormatting>
  <x:conditionalFormatting sqref="B9:B9">
    <x:cfRule type="expression" dxfId="58" priority="3">
      <x:formula>B9&lt;'施設設定'!D19</x:formula>
    </x:cfRule>
  </x:conditionalFormatting>
  <x:conditionalFormatting sqref="B10:B10">
    <x:cfRule type="expression" dxfId="59" priority="4">
      <x:formula>B10&lt;'施設設定'!F17</x:formula>
    </x:cfRule>
  </x:conditionalFormatting>
  <x:conditionalFormatting sqref="B11:B11">
    <x:cfRule type="expression" dxfId="60" priority="5">
      <x:formula>B11&lt;'施設設定'!F18</x:formula>
    </x:cfRule>
  </x:conditionalFormatting>
  <x:conditionalFormatting sqref="B12:B12">
    <x:cfRule type="expression" dxfId="61" priority="6">
      <x:formula>B12&lt;'施設設定'!F19</x:formula>
    </x:cfRule>
  </x:conditionalFormatting>
  <x:conditionalFormatting sqref="B15:B15">
    <x:cfRule type="expression" dxfId="62" priority="7">
      <x:formula>B15&lt;6</x:formula>
    </x:cfRule>
  </x:conditionalFormatting>
  <x:conditionalFormatting sqref="B16:B16">
    <x:cfRule type="expression" dxfId="63" priority="8">
      <x:formula>B16&lt;2</x:formula>
    </x:cfRule>
  </x:conditionalFormatting>
  <x:conditionalFormatting sqref="B17:B20">
    <x:cfRule type="expression" dxfId="64" priority="9">
      <x:formula>B17&gt;0</x:formula>
    </x:cfRule>
  </x:conditionalFormatting>
  <x:conditionalFormatting sqref="B21:B21">
    <x:cfRule type="expression" dxfId="65" priority="10">
      <x:formula>B21="要修正"</x:formula>
    </x:cfRule>
  </x:conditionalFormatting>
  <x:conditionalFormatting sqref="C7:C7">
    <x:cfRule type="expression" dxfId="66" priority="11">
      <x:formula>C7&lt;'施設設定'!D17</x:formula>
    </x:cfRule>
  </x:conditionalFormatting>
  <x:conditionalFormatting sqref="C8:C8">
    <x:cfRule type="expression" dxfId="67" priority="12">
      <x:formula>C8&lt;'施設設定'!D18</x:formula>
    </x:cfRule>
  </x:conditionalFormatting>
  <x:conditionalFormatting sqref="C9:C9">
    <x:cfRule type="expression" dxfId="68" priority="13">
      <x:formula>C9&lt;'施設設定'!D19</x:formula>
    </x:cfRule>
  </x:conditionalFormatting>
  <x:conditionalFormatting sqref="C10:C10">
    <x:cfRule type="expression" dxfId="69" priority="14">
      <x:formula>C10&lt;'施設設定'!F17</x:formula>
    </x:cfRule>
  </x:conditionalFormatting>
  <x:conditionalFormatting sqref="C11:C11">
    <x:cfRule type="expression" dxfId="70" priority="15">
      <x:formula>C11&lt;'施設設定'!F18</x:formula>
    </x:cfRule>
  </x:conditionalFormatting>
  <x:conditionalFormatting sqref="C12:C12">
    <x:cfRule type="expression" dxfId="71" priority="16">
      <x:formula>C12&lt;'施設設定'!F19</x:formula>
    </x:cfRule>
  </x:conditionalFormatting>
  <x:conditionalFormatting sqref="C15:C15">
    <x:cfRule type="expression" dxfId="72" priority="17">
      <x:formula>C15&lt;6</x:formula>
    </x:cfRule>
  </x:conditionalFormatting>
  <x:conditionalFormatting sqref="C16:C16">
    <x:cfRule type="expression" dxfId="73" priority="18">
      <x:formula>C16&lt;2</x:formula>
    </x:cfRule>
  </x:conditionalFormatting>
  <x:conditionalFormatting sqref="C17:C20">
    <x:cfRule type="expression" dxfId="74" priority="19">
      <x:formula>C17&gt;0</x:formula>
    </x:cfRule>
  </x:conditionalFormatting>
  <x:conditionalFormatting sqref="C21:C21">
    <x:cfRule type="expression" dxfId="75" priority="20">
      <x:formula>C21="要修正"</x:formula>
    </x:cfRule>
  </x:conditionalFormatting>
  <x:conditionalFormatting sqref="D7:D7">
    <x:cfRule type="expression" dxfId="76" priority="21">
      <x:formula>D7&lt;'施設設定'!D17</x:formula>
    </x:cfRule>
  </x:conditionalFormatting>
  <x:conditionalFormatting sqref="D8:D8">
    <x:cfRule type="expression" dxfId="77" priority="22">
      <x:formula>D8&lt;'施設設定'!D18</x:formula>
    </x:cfRule>
  </x:conditionalFormatting>
  <x:conditionalFormatting sqref="D9:D9">
    <x:cfRule type="expression" dxfId="78" priority="23">
      <x:formula>D9&lt;'施設設定'!D19</x:formula>
    </x:cfRule>
  </x:conditionalFormatting>
  <x:conditionalFormatting sqref="D10:D10">
    <x:cfRule type="expression" dxfId="79" priority="24">
      <x:formula>D10&lt;'施設設定'!F17</x:formula>
    </x:cfRule>
  </x:conditionalFormatting>
  <x:conditionalFormatting sqref="D11:D11">
    <x:cfRule type="expression" dxfId="80" priority="25">
      <x:formula>D11&lt;'施設設定'!F18</x:formula>
    </x:cfRule>
  </x:conditionalFormatting>
  <x:conditionalFormatting sqref="D12:D12">
    <x:cfRule type="expression" dxfId="81" priority="26">
      <x:formula>D12&lt;'施設設定'!F19</x:formula>
    </x:cfRule>
  </x:conditionalFormatting>
  <x:conditionalFormatting sqref="D15:D15">
    <x:cfRule type="expression" dxfId="82" priority="27">
      <x:formula>D15&lt;6</x:formula>
    </x:cfRule>
  </x:conditionalFormatting>
  <x:conditionalFormatting sqref="D16:D16">
    <x:cfRule type="expression" dxfId="83" priority="28">
      <x:formula>D16&lt;2</x:formula>
    </x:cfRule>
  </x:conditionalFormatting>
  <x:conditionalFormatting sqref="D17:D20">
    <x:cfRule type="expression" dxfId="84" priority="29">
      <x:formula>D17&gt;0</x:formula>
    </x:cfRule>
  </x:conditionalFormatting>
  <x:conditionalFormatting sqref="D21:D21">
    <x:cfRule type="expression" dxfId="85" priority="30">
      <x:formula>D21="要修正"</x:formula>
    </x:cfRule>
  </x:conditionalFormatting>
  <x:conditionalFormatting sqref="E7:E7">
    <x:cfRule type="expression" dxfId="86" priority="31">
      <x:formula>E7&lt;'施設設定'!D17</x:formula>
    </x:cfRule>
  </x:conditionalFormatting>
  <x:conditionalFormatting sqref="E8:E8">
    <x:cfRule type="expression" dxfId="87" priority="32">
      <x:formula>E8&lt;'施設設定'!D18</x:formula>
    </x:cfRule>
  </x:conditionalFormatting>
  <x:conditionalFormatting sqref="E9:E9">
    <x:cfRule type="expression" dxfId="88" priority="33">
      <x:formula>E9&lt;'施設設定'!D19</x:formula>
    </x:cfRule>
  </x:conditionalFormatting>
  <x:conditionalFormatting sqref="E10:E10">
    <x:cfRule type="expression" dxfId="89" priority="34">
      <x:formula>E10&lt;'施設設定'!F17</x:formula>
    </x:cfRule>
  </x:conditionalFormatting>
  <x:conditionalFormatting sqref="E11:E11">
    <x:cfRule type="expression" dxfId="90" priority="35">
      <x:formula>E11&lt;'施設設定'!F18</x:formula>
    </x:cfRule>
  </x:conditionalFormatting>
  <x:conditionalFormatting sqref="E12:E12">
    <x:cfRule type="expression" dxfId="91" priority="36">
      <x:formula>E12&lt;'施設設定'!F19</x:formula>
    </x:cfRule>
  </x:conditionalFormatting>
  <x:conditionalFormatting sqref="E15:E15">
    <x:cfRule type="expression" dxfId="92" priority="37">
      <x:formula>E15&lt;6</x:formula>
    </x:cfRule>
  </x:conditionalFormatting>
  <x:conditionalFormatting sqref="E16:E16">
    <x:cfRule type="expression" dxfId="93" priority="38">
      <x:formula>E16&lt;2</x:formula>
    </x:cfRule>
  </x:conditionalFormatting>
  <x:conditionalFormatting sqref="E17:E20">
    <x:cfRule type="expression" dxfId="94" priority="39">
      <x:formula>E17&gt;0</x:formula>
    </x:cfRule>
  </x:conditionalFormatting>
  <x:conditionalFormatting sqref="E21:E21">
    <x:cfRule type="expression" dxfId="95" priority="40">
      <x:formula>E21="要修正"</x:formula>
    </x:cfRule>
  </x:conditionalFormatting>
  <x:conditionalFormatting sqref="F7:F7">
    <x:cfRule type="expression" dxfId="96" priority="41">
      <x:formula>F7&lt;'施設設定'!D17</x:formula>
    </x:cfRule>
  </x:conditionalFormatting>
  <x:conditionalFormatting sqref="F8:F8">
    <x:cfRule type="expression" dxfId="97" priority="42">
      <x:formula>F8&lt;'施設設定'!D18</x:formula>
    </x:cfRule>
  </x:conditionalFormatting>
  <x:conditionalFormatting sqref="F9:F9">
    <x:cfRule type="expression" dxfId="98" priority="43">
      <x:formula>F9&lt;'施設設定'!D19</x:formula>
    </x:cfRule>
  </x:conditionalFormatting>
  <x:conditionalFormatting sqref="F10:F10">
    <x:cfRule type="expression" dxfId="99" priority="44">
      <x:formula>F10&lt;'施設設定'!F17</x:formula>
    </x:cfRule>
  </x:conditionalFormatting>
  <x:conditionalFormatting sqref="F11:F11">
    <x:cfRule type="expression" dxfId="100" priority="45">
      <x:formula>F11&lt;'施設設定'!F18</x:formula>
    </x:cfRule>
  </x:conditionalFormatting>
  <x:conditionalFormatting sqref="F12:F12">
    <x:cfRule type="expression" dxfId="101" priority="46">
      <x:formula>F12&lt;'施設設定'!F19</x:formula>
    </x:cfRule>
  </x:conditionalFormatting>
  <x:conditionalFormatting sqref="F15:F15">
    <x:cfRule type="expression" dxfId="102" priority="47">
      <x:formula>F15&lt;6</x:formula>
    </x:cfRule>
  </x:conditionalFormatting>
  <x:conditionalFormatting sqref="F16:F16">
    <x:cfRule type="expression" dxfId="103" priority="48">
      <x:formula>F16&lt;2</x:formula>
    </x:cfRule>
  </x:conditionalFormatting>
  <x:conditionalFormatting sqref="F17:F20">
    <x:cfRule type="expression" dxfId="104" priority="49">
      <x:formula>F17&gt;0</x:formula>
    </x:cfRule>
  </x:conditionalFormatting>
  <x:conditionalFormatting sqref="F21:F21">
    <x:cfRule type="expression" dxfId="105" priority="50">
      <x:formula>F21="要修正"</x:formula>
    </x:cfRule>
  </x:conditionalFormatting>
  <x:conditionalFormatting sqref="G7:G7">
    <x:cfRule type="expression" dxfId="106" priority="51">
      <x:formula>G7&lt;'施設設定'!D17</x:formula>
    </x:cfRule>
  </x:conditionalFormatting>
  <x:conditionalFormatting sqref="G8:G8">
    <x:cfRule type="expression" dxfId="107" priority="52">
      <x:formula>G8&lt;'施設設定'!D18</x:formula>
    </x:cfRule>
  </x:conditionalFormatting>
  <x:conditionalFormatting sqref="G9:G9">
    <x:cfRule type="expression" dxfId="108" priority="53">
      <x:formula>G9&lt;'施設設定'!D19</x:formula>
    </x:cfRule>
  </x:conditionalFormatting>
  <x:conditionalFormatting sqref="G10:G10">
    <x:cfRule type="expression" dxfId="109" priority="54">
      <x:formula>G10&lt;'施設設定'!F17</x:formula>
    </x:cfRule>
  </x:conditionalFormatting>
  <x:conditionalFormatting sqref="G11:G11">
    <x:cfRule type="expression" dxfId="110" priority="55">
      <x:formula>G11&lt;'施設設定'!F18</x:formula>
    </x:cfRule>
  </x:conditionalFormatting>
  <x:conditionalFormatting sqref="G12:G12">
    <x:cfRule type="expression" dxfId="111" priority="56">
      <x:formula>G12&lt;'施設設定'!F19</x:formula>
    </x:cfRule>
  </x:conditionalFormatting>
  <x:conditionalFormatting sqref="G15:G15">
    <x:cfRule type="expression" dxfId="112" priority="57">
      <x:formula>G15&lt;6</x:formula>
    </x:cfRule>
  </x:conditionalFormatting>
  <x:conditionalFormatting sqref="G16:G16">
    <x:cfRule type="expression" dxfId="113" priority="58">
      <x:formula>G16&lt;2</x:formula>
    </x:cfRule>
  </x:conditionalFormatting>
  <x:conditionalFormatting sqref="G17:G20">
    <x:cfRule type="expression" dxfId="114" priority="59">
      <x:formula>G17&gt;0</x:formula>
    </x:cfRule>
  </x:conditionalFormatting>
  <x:conditionalFormatting sqref="G21:G21">
    <x:cfRule type="expression" dxfId="115" priority="60">
      <x:formula>G21="要修正"</x:formula>
    </x:cfRule>
  </x:conditionalFormatting>
  <x:conditionalFormatting sqref="H7:H7">
    <x:cfRule type="expression" dxfId="116" priority="61">
      <x:formula>H7&lt;'施設設定'!D17</x:formula>
    </x:cfRule>
  </x:conditionalFormatting>
  <x:conditionalFormatting sqref="H8:H8">
    <x:cfRule type="expression" dxfId="117" priority="62">
      <x:formula>H8&lt;'施設設定'!D18</x:formula>
    </x:cfRule>
  </x:conditionalFormatting>
  <x:conditionalFormatting sqref="H9:H9">
    <x:cfRule type="expression" dxfId="118" priority="63">
      <x:formula>H9&lt;'施設設定'!D19</x:formula>
    </x:cfRule>
  </x:conditionalFormatting>
  <x:conditionalFormatting sqref="H10:H10">
    <x:cfRule type="expression" dxfId="119" priority="64">
      <x:formula>H10&lt;'施設設定'!F17</x:formula>
    </x:cfRule>
  </x:conditionalFormatting>
  <x:conditionalFormatting sqref="H11:H11">
    <x:cfRule type="expression" dxfId="120" priority="65">
      <x:formula>H11&lt;'施設設定'!F18</x:formula>
    </x:cfRule>
  </x:conditionalFormatting>
  <x:conditionalFormatting sqref="H12:H12">
    <x:cfRule type="expression" dxfId="121" priority="66">
      <x:formula>H12&lt;'施設設定'!F19</x:formula>
    </x:cfRule>
  </x:conditionalFormatting>
  <x:conditionalFormatting sqref="H15:H15">
    <x:cfRule type="expression" dxfId="122" priority="67">
      <x:formula>H15&lt;6</x:formula>
    </x:cfRule>
  </x:conditionalFormatting>
  <x:conditionalFormatting sqref="H16:H16">
    <x:cfRule type="expression" dxfId="123" priority="68">
      <x:formula>H16&lt;2</x:formula>
    </x:cfRule>
  </x:conditionalFormatting>
  <x:conditionalFormatting sqref="H17:H20">
    <x:cfRule type="expression" dxfId="124" priority="69">
      <x:formula>H17&gt;0</x:formula>
    </x:cfRule>
  </x:conditionalFormatting>
  <x:conditionalFormatting sqref="H21:H21">
    <x:cfRule type="expression" dxfId="125" priority="70">
      <x:formula>H21="要修正"</x:formula>
    </x:cfRule>
  </x:conditionalFormatting>
  <x:conditionalFormatting sqref="B25:B27">
    <x:cfRule type="expression" dxfId="126" priority="71">
      <x:formula>B25&gt;0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5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</x:cols>
  <x:sheetData>
    <x:row r="1" ht="26" customHeight="1">
      <x:c r="A1" s="56"/>
      <x:c r="B1" s="56"/>
      <x:c r="C1" s="56"/>
      <x:c r="D1" s="56"/>
      <x:c r="E1" s="56"/>
      <x:c r="F1" s="56"/>
      <x:c r="G1" s="56"/>
      <x:c r="H1" s="56"/>
      <x:c r="I1" s="56"/>
      <x:c r="J1" s="56"/>
      <x:c r="K1" s="56"/>
      <x:c r="L1" s="56"/>
      <x:c r="M1" s="56"/>
      <x:c r="N1" s="56"/>
      <x:c r="O1" s="56"/>
      <x:c r="P1" s="56"/>
      <x:c r="Q1" s="56"/>
    </x:row>
    <x:row r="2" ht="26" customHeight="1">
      <x:c r="A2" s="57" t="str">
        <x:v>週間仮シフト｜10月5日（月）～11日（日）</x:v>
      </x:c>
      <x:c r="B2" s="56"/>
      <x:c r="C2" s="56"/>
      <x:c r="D2" s="56"/>
      <x:c r="E2" s="56"/>
      <x:c r="F2" s="56"/>
      <x:c r="G2" s="56"/>
      <x:c r="H2" s="56"/>
      <x:c r="I2" s="56"/>
      <x:c r="J2" s="56"/>
      <x:c r="K2" s="56"/>
      <x:c r="L2" s="56"/>
      <x:c r="M2" s="56"/>
      <x:c r="N2" s="56"/>
      <x:c r="O2" s="56"/>
      <x:c r="P2" s="56"/>
      <x:c r="Q2" s="56"/>
    </x:row>
    <x:row r="3" ht="26" customHeight="1">
      <x:c r="A3" s="87" t="str">
        <x:v>架空の検証用。NGを含みます。日付は勤務開始日。C・K列は週境界の参考入力です。</x:v>
      </x:c>
      <x:c r="B3" s="56"/>
      <x:c r="C3" s="56"/>
      <x:c r="D3" s="56"/>
      <x:c r="E3" s="56"/>
      <x:c r="F3" s="56"/>
      <x:c r="G3" s="56"/>
      <x:c r="H3" s="56"/>
      <x:c r="I3" s="56"/>
      <x:c r="J3" s="56"/>
      <x:c r="K3" s="56"/>
      <x:c r="L3" s="56"/>
      <x:c r="M3" s="56"/>
      <x:c r="N3" s="56"/>
      <x:c r="O3" s="56"/>
      <x:c r="P3" s="56"/>
      <x:c r="Q3" s="56"/>
    </x:row>
    <x:row r="4" ht="26" customHeight="1">
      <x:c r="A4" s="56"/>
      <x:c r="B4" s="56"/>
      <x:c r="C4" s="56"/>
      <x:c r="D4" s="56"/>
      <x:c r="E4" s="56"/>
      <x:c r="F4" s="56"/>
      <x:c r="G4" s="56"/>
      <x:c r="H4" s="56"/>
      <x:c r="I4" s="56"/>
      <x:c r="J4" s="56"/>
      <x:c r="K4" s="56"/>
      <x:c r="L4" s="56"/>
      <x:c r="M4" s="56"/>
      <x:c r="N4" s="56"/>
      <x:c r="O4" s="56"/>
      <x:c r="P4" s="56"/>
      <x:c r="Q4" s="56"/>
    </x:row>
    <x:row r="5" ht="40" customHeight="1">
      <x:c r="A5" s="95" t="str">
        <x:v>職員ID</x:v>
      </x:c>
      <x:c r="B5" s="95" t="str">
        <x:v>所属</x:v>
      </x:c>
      <x:c r="C5" s="96" t="n">
        <x:v>46299</x:v>
      </x:c>
      <x:c r="D5" s="96" t="n">
        <x:v>46300</x:v>
      </x:c>
      <x:c r="E5" s="96" t="n">
        <x:v>46301</x:v>
      </x:c>
      <x:c r="F5" s="96" t="n">
        <x:v>46302</x:v>
      </x:c>
      <x:c r="G5" s="96" t="n">
        <x:v>46303</x:v>
      </x:c>
      <x:c r="H5" s="96" t="n">
        <x:v>46304</x:v>
      </x:c>
      <x:c r="I5" s="96" t="n">
        <x:v>46305</x:v>
      </x:c>
      <x:c r="J5" s="96" t="n">
        <x:v>46306</x:v>
      </x:c>
      <x:c r="K5" s="96" t="n">
        <x:v>46307</x:v>
      </x:c>
      <x:c r="L5" s="95" t="str">
        <x:v>週内開始勤務の実働h</x:v>
      </x:c>
      <x:c r="M5" s="95" t="str">
        <x:v>週契約h</x:v>
      </x:c>
      <x:c r="N5" s="95" t="str">
        <x:v>契約超過h</x:v>
      </x:c>
      <x:c r="O5" s="95" t="str">
        <x:v>夜勤不可割当</x:v>
      </x:c>
      <x:c r="P5" s="95" t="str">
        <x:v>勤務コード不適合</x:v>
      </x:c>
      <x:c r="Q5" s="95" t="str">
        <x:v>明け表示の矛盾</x:v>
      </x:c>
    </x:row>
    <x:row r="6" ht="40" customHeight="1">
      <x:c r="A6" s="95"/>
      <x:c r="B6" s="95"/>
      <x:c r="C6" s="95" t="str">
        <x:v>日（前週）</x:v>
      </x:c>
      <x:c r="D6" s="95" t="str">
        <x:v>月</x:v>
      </x:c>
      <x:c r="E6" s="95" t="str">
        <x:v>火</x:v>
      </x:c>
      <x:c r="F6" s="95" t="str">
        <x:v>水</x:v>
      </x:c>
      <x:c r="G6" s="95" t="str">
        <x:v>木</x:v>
      </x:c>
      <x:c r="H6" s="95" t="str">
        <x:v>金</x:v>
      </x:c>
      <x:c r="I6" s="95" t="str">
        <x:v>土</x:v>
      </x:c>
      <x:c r="J6" s="95" t="str">
        <x:v>日</x:v>
      </x:c>
      <x:c r="K6" s="95" t="str">
        <x:v>月（翌週）</x:v>
      </x:c>
      <x:c r="L6" s="95"/>
      <x:c r="M6" s="95"/>
      <x:c r="N6" s="95"/>
      <x:c r="O6" s="95"/>
      <x:c r="P6" s="95"/>
      <x:c r="Q6" s="95"/>
    </x:row>
    <x:row r="7" ht="26" customHeight="1">
      <x:c r="A7" s="56" t="str">
        <x:v>1F-01</x:v>
      </x:c>
      <x:c r="B7" s="56" t="str">
        <x:v>1F</x:v>
      </x:c>
      <x:c r="C7" s="80" t="str">
        <x:v>夜</x:v>
      </x:c>
      <x:c r="D7" s="80" t="str">
        <x:v>明</x:v>
      </x:c>
      <x:c r="E7" s="80" t="str">
        <x:v>統</x:v>
      </x:c>
      <x:c r="F7" s="80" t="str">
        <x:v>明</x:v>
      </x:c>
      <x:c r="G7" s="80" t="str">
        <x:v>早</x:v>
      </x:c>
      <x:c r="H7" s="80" t="str">
        <x:v>早</x:v>
      </x:c>
      <x:c r="I7" s="80" t="str">
        <x:v>早</x:v>
      </x:c>
      <x:c r="J7" s="80" t="str">
        <x:v>早</x:v>
      </x:c>
      <x:c r="K7" s="80" t="str">
        <x:v>統</x:v>
      </x:c>
      <x:c r="L7" s="72" t="n">
        <x:f>COUNTIFS(D7:J7,"早")*'勤務区分'!$G$6+COUNTIFS(D7:J7,"遅")*'勤務区分'!$G$7+COUNTIFS(D7:J7,"日")*'勤務区分'!$G$8+COUNTIFS(D7:J7,"午")*'勤務区分'!$G$9+COUNTIFS(D7:J7,"後")*'勤務区分'!$G$10+COUNTIFS(D7:J7,"短A")*'勤務区分'!$G$11+COUNTIFS(D7:J7,"短B")*'勤務区分'!$G$12+(COUNTIFS(D7:J7,"夜")+COUNTIFS(D7:J7,"統"))*'勤務区分'!$G$13</x:f>
        <x:v>45.99999999999999</x:v>
      </x:c>
      <x:c r="M7" s="72" t="n">
        <x:f>'職員マスター'!O6</x:f>
        <x:v>40</x:v>
      </x:c>
      <x:c r="N7" s="72" t="n">
        <x:f>MAX(0,L7-M7)</x:f>
        <x:v>5.999999999999993</x:v>
      </x:c>
      <x:c r="O7" s="56" t="n">
        <x:f>IF('職員マスター'!F6="不可",COUNTIFS(D7:J7,"夜")+COUNTIFS(D7:J7,"統"),0)</x:f>
        <x:v>0</x:v>
      </x:c>
      <x:c r="P7" s="56" t="n">
        <x:f>IF(OR(D7="休",D7="有",D7="明"),0,IF(D7="統",IF('職員マスター'!M6="可",0,1),IF(ISNUMBER(SEARCH("・"&amp;D7&amp;"・","・"&amp;'職員マスター'!N6&amp;"・")),0,1)))+IF(OR(E7="休",E7="有",E7="明"),0,IF(E7="統",IF('職員マスター'!M6="可",0,1),IF(ISNUMBER(SEARCH("・"&amp;E7&amp;"・","・"&amp;'職員マスター'!N6&amp;"・")),0,1)))+IF(OR(F7="休",F7="有",F7="明"),0,IF(F7="統",IF('職員マスター'!M6="可",0,1),IF(ISNUMBER(SEARCH("・"&amp;F7&amp;"・","・"&amp;'職員マスター'!N6&amp;"・")),0,1)))+IF(OR(G7="休",G7="有",G7="明"),0,IF(G7="統",IF('職員マスター'!M6="可",0,1),IF(ISNUMBER(SEARCH("・"&amp;G7&amp;"・","・"&amp;'職員マスター'!N6&amp;"・")),0,1)))+IF(OR(H7="休",H7="有",H7="明"),0,IF(H7="統",IF('職員マスター'!M6="可",0,1),IF(ISNUMBER(SEARCH("・"&amp;H7&amp;"・","・"&amp;'職員マスター'!N6&amp;"・")),0,1)))+IF(OR(I7="休",I7="有",I7="明"),0,IF(I7="統",IF('職員マスター'!M6="可",0,1),IF(ISNUMBER(SEARCH("・"&amp;I7&amp;"・","・"&amp;'職員マスター'!N6&amp;"・")),0,1)))+IF(OR(J7="休",J7="有",J7="明"),0,IF(J7="統",IF('職員マスター'!M6="可",0,1),IF(ISNUMBER(SEARCH("・"&amp;J7&amp;"・","・"&amp;'職員マスター'!N6&amp;"・")),0,1)))</x:f>
        <x:v>0</x:v>
      </x:c>
      <x:c r="Q7" s="56" t="n">
        <x:f>IF(OR(C7="夜",C7="統"),IF(D7="明",0,1),IF(D7="明",1,0))+IF(OR(D7="夜",D7="統"),IF(E7="明",0,1),IF(E7="明",1,0))+IF(OR(E7="夜",E7="統"),IF(F7="明",0,1),IF(F7="明",1,0))+IF(OR(F7="夜",F7="統"),IF(G7="明",0,1),IF(G7="明",1,0))+IF(OR(G7="夜",G7="統"),IF(H7="明",0,1),IF(H7="明",1,0))+IF(OR(H7="夜",H7="統"),IF(I7="明",0,1),IF(I7="明",1,0))+IF(OR(I7="夜",I7="統"),IF(J7="明",0,1),IF(J7="明",1,0))</x:f>
        <x:v>0</x:v>
      </x:c>
    </x:row>
    <x:row r="8" ht="26" customHeight="1">
      <x:c r="A8" s="56" t="str">
        <x:v>1F-02</x:v>
      </x:c>
      <x:c r="B8" s="56" t="str">
        <x:v>1F</x:v>
      </x:c>
      <x:c r="C8" s="80" t="str">
        <x:v>夜</x:v>
      </x:c>
      <x:c r="D8" s="80" t="str">
        <x:v>明</x:v>
      </x:c>
      <x:c r="E8" s="80" t="str">
        <x:v>統</x:v>
      </x:c>
      <x:c r="F8" s="80" t="str">
        <x:v>明</x:v>
      </x:c>
      <x:c r="G8" s="80" t="str">
        <x:v>早</x:v>
      </x:c>
      <x:c r="H8" s="80" t="str">
        <x:v>早</x:v>
      </x:c>
      <x:c r="I8" s="80" t="str">
        <x:v>早</x:v>
      </x:c>
      <x:c r="J8" s="80" t="str">
        <x:v>早</x:v>
      </x:c>
      <x:c r="K8" s="80" t="str">
        <x:v>統</x:v>
      </x:c>
      <x:c r="L8" s="72" t="n">
        <x:f>COUNTIFS(D8:J8,"早")*'勤務区分'!$G$6+COUNTIFS(D8:J8,"遅")*'勤務区分'!$G$7+COUNTIFS(D8:J8,"日")*'勤務区分'!$G$8+COUNTIFS(D8:J8,"午")*'勤務区分'!$G$9+COUNTIFS(D8:J8,"後")*'勤務区分'!$G$10+COUNTIFS(D8:J8,"短A")*'勤務区分'!$G$11+COUNTIFS(D8:J8,"短B")*'勤務区分'!$G$12+(COUNTIFS(D8:J8,"夜")+COUNTIFS(D8:J8,"統"))*'勤務区分'!$G$13</x:f>
        <x:v>45.99999999999999</x:v>
      </x:c>
      <x:c r="M8" s="72" t="n">
        <x:f>'職員マスター'!O7</x:f>
        <x:v>40</x:v>
      </x:c>
      <x:c r="N8" s="72" t="n">
        <x:f>MAX(0,L8-M8)</x:f>
        <x:v>5.999999999999993</x:v>
      </x:c>
      <x:c r="O8" s="56" t="n">
        <x:f>IF('職員マスター'!F7="不可",COUNTIFS(D8:J8,"夜")+COUNTIFS(D8:J8,"統"),0)</x:f>
        <x:v>0</x:v>
      </x:c>
      <x:c r="P8" s="56" t="n">
        <x:f>IF(OR(D8="休",D8="有",D8="明"),0,IF(D8="統",IF('職員マスター'!M7="可",0,1),IF(ISNUMBER(SEARCH("・"&amp;D8&amp;"・","・"&amp;'職員マスター'!N7&amp;"・")),0,1)))+IF(OR(E8="休",E8="有",E8="明"),0,IF(E8="統",IF('職員マスター'!M7="可",0,1),IF(ISNUMBER(SEARCH("・"&amp;E8&amp;"・","・"&amp;'職員マスター'!N7&amp;"・")),0,1)))+IF(OR(F8="休",F8="有",F8="明"),0,IF(F8="統",IF('職員マスター'!M7="可",0,1),IF(ISNUMBER(SEARCH("・"&amp;F8&amp;"・","・"&amp;'職員マスター'!N7&amp;"・")),0,1)))+IF(OR(G8="休",G8="有",G8="明"),0,IF(G8="統",IF('職員マスター'!M7="可",0,1),IF(ISNUMBER(SEARCH("・"&amp;G8&amp;"・","・"&amp;'職員マスター'!N7&amp;"・")),0,1)))+IF(OR(H8="休",H8="有",H8="明"),0,IF(H8="統",IF('職員マスター'!M7="可",0,1),IF(ISNUMBER(SEARCH("・"&amp;H8&amp;"・","・"&amp;'職員マスター'!N7&amp;"・")),0,1)))+IF(OR(I8="休",I8="有",I8="明"),0,IF(I8="統",IF('職員マスター'!M7="可",0,1),IF(ISNUMBER(SEARCH("・"&amp;I8&amp;"・","・"&amp;'職員マスター'!N7&amp;"・")),0,1)))+IF(OR(J8="休",J8="有",J8="明"),0,IF(J8="統",IF('職員マスター'!M7="可",0,1),IF(ISNUMBER(SEARCH("・"&amp;J8&amp;"・","・"&amp;'職員マスター'!N7&amp;"・")),0,1)))</x:f>
        <x:v>0</x:v>
      </x:c>
      <x:c r="Q8" s="56" t="n">
        <x:f>IF(OR(C8="夜",C8="統"),IF(D8="明",0,1),IF(D8="明",1,0))+IF(OR(D8="夜",D8="統"),IF(E8="明",0,1),IF(E8="明",1,0))+IF(OR(E8="夜",E8="統"),IF(F8="明",0,1),IF(F8="明",1,0))+IF(OR(F8="夜",F8="統"),IF(G8="明",0,1),IF(G8="明",1,0))+IF(OR(G8="夜",G8="統"),IF(H8="明",0,1),IF(H8="明",1,0))+IF(OR(H8="夜",H8="統"),IF(I8="明",0,1),IF(I8="明",1,0))+IF(OR(I8="夜",I8="統"),IF(J8="明",0,1),IF(J8="明",1,0))</x:f>
        <x:v>0</x:v>
      </x:c>
    </x:row>
    <x:row r="9" ht="26" customHeight="1">
      <x:c r="A9" s="56" t="str">
        <x:v>1F-03</x:v>
      </x:c>
      <x:c r="B9" s="56" t="str">
        <x:v>1F</x:v>
      </x:c>
      <x:c r="C9" s="80" t="str">
        <x:v>統</x:v>
      </x:c>
      <x:c r="D9" s="80" t="str">
        <x:v>明</x:v>
      </x:c>
      <x:c r="E9" s="80" t="str">
        <x:v>休</x:v>
      </x:c>
      <x:c r="F9" s="80" t="str">
        <x:v>統</x:v>
      </x:c>
      <x:c r="G9" s="80" t="str">
        <x:v>明</x:v>
      </x:c>
      <x:c r="H9" s="80" t="str">
        <x:v>早</x:v>
      </x:c>
      <x:c r="I9" s="80" t="str">
        <x:v>遅</x:v>
      </x:c>
      <x:c r="J9" s="80" t="str">
        <x:v>遅</x:v>
      </x:c>
      <x:c r="K9" s="80" t="str">
        <x:v>休</x:v>
      </x:c>
      <x:c r="L9" s="72" t="n">
        <x:f>COUNTIFS(D9:J9,"早")*'勤務区分'!$G$6+COUNTIFS(D9:J9,"遅")*'勤務区分'!$G$7+COUNTIFS(D9:J9,"日")*'勤務区分'!$G$8+COUNTIFS(D9:J9,"午")*'勤務区分'!$G$9+COUNTIFS(D9:J9,"後")*'勤務区分'!$G$10+COUNTIFS(D9:J9,"短A")*'勤務区分'!$G$11+COUNTIFS(D9:J9,"短B")*'勤務区分'!$G$12+(COUNTIFS(D9:J9,"夜")+COUNTIFS(D9:J9,"統"))*'勤務区分'!$G$13</x:f>
        <x:v>37.99999999999999</x:v>
      </x:c>
      <x:c r="M9" s="72" t="n">
        <x:f>'職員マスター'!O8</x:f>
        <x:v>40</x:v>
      </x:c>
      <x:c r="N9" s="72" t="n">
        <x:f>MAX(0,L9-M9)</x:f>
        <x:v>0</x:v>
      </x:c>
      <x:c r="O9" s="56" t="n">
        <x:f>IF('職員マスター'!F8="不可",COUNTIFS(D9:J9,"夜")+COUNTIFS(D9:J9,"統"),0)</x:f>
        <x:v>0</x:v>
      </x:c>
      <x:c r="P9" s="56" t="n">
        <x:f>IF(OR(D9="休",D9="有",D9="明"),0,IF(D9="統",IF('職員マスター'!M8="可",0,1),IF(ISNUMBER(SEARCH("・"&amp;D9&amp;"・","・"&amp;'職員マスター'!N8&amp;"・")),0,1)))+IF(OR(E9="休",E9="有",E9="明"),0,IF(E9="統",IF('職員マスター'!M8="可",0,1),IF(ISNUMBER(SEARCH("・"&amp;E9&amp;"・","・"&amp;'職員マスター'!N8&amp;"・")),0,1)))+IF(OR(F9="休",F9="有",F9="明"),0,IF(F9="統",IF('職員マスター'!M8="可",0,1),IF(ISNUMBER(SEARCH("・"&amp;F9&amp;"・","・"&amp;'職員マスター'!N8&amp;"・")),0,1)))+IF(OR(G9="休",G9="有",G9="明"),0,IF(G9="統",IF('職員マスター'!M8="可",0,1),IF(ISNUMBER(SEARCH("・"&amp;G9&amp;"・","・"&amp;'職員マスター'!N8&amp;"・")),0,1)))+IF(OR(H9="休",H9="有",H9="明"),0,IF(H9="統",IF('職員マスター'!M8="可",0,1),IF(ISNUMBER(SEARCH("・"&amp;H9&amp;"・","・"&amp;'職員マスター'!N8&amp;"・")),0,1)))+IF(OR(I9="休",I9="有",I9="明"),0,IF(I9="統",IF('職員マスター'!M8="可",0,1),IF(ISNUMBER(SEARCH("・"&amp;I9&amp;"・","・"&amp;'職員マスター'!N8&amp;"・")),0,1)))+IF(OR(J9="休",J9="有",J9="明"),0,IF(J9="統",IF('職員マスター'!M8="可",0,1),IF(ISNUMBER(SEARCH("・"&amp;J9&amp;"・","・"&amp;'職員マスター'!N8&amp;"・")),0,1)))</x:f>
        <x:v>0</x:v>
      </x:c>
      <x:c r="Q9" s="56" t="n">
        <x:f>IF(OR(C9="夜",C9="統"),IF(D9="明",0,1),IF(D9="明",1,0))+IF(OR(D9="夜",D9="統"),IF(E9="明",0,1),IF(E9="明",1,0))+IF(OR(E9="夜",E9="統"),IF(F9="明",0,1),IF(F9="明",1,0))+IF(OR(F9="夜",F9="統"),IF(G9="明",0,1),IF(G9="明",1,0))+IF(OR(G9="夜",G9="統"),IF(H9="明",0,1),IF(H9="明",1,0))+IF(OR(H9="夜",H9="統"),IF(I9="明",0,1),IF(I9="明",1,0))+IF(OR(I9="夜",I9="統"),IF(J9="明",0,1),IF(J9="明",1,0))</x:f>
        <x:v>0</x:v>
      </x:c>
    </x:row>
    <x:row r="10" ht="26" customHeight="1">
      <x:c r="A10" s="56" t="str">
        <x:v>1F-04</x:v>
      </x:c>
      <x:c r="B10" s="56" t="str">
        <x:v>1F</x:v>
      </x:c>
      <x:c r="C10" s="80" t="str">
        <x:v>統</x:v>
      </x:c>
      <x:c r="D10" s="80" t="str">
        <x:v>明</x:v>
      </x:c>
      <x:c r="E10" s="80" t="str">
        <x:v>早</x:v>
      </x:c>
      <x:c r="F10" s="80" t="str">
        <x:v>統</x:v>
      </x:c>
      <x:c r="G10" s="80" t="str">
        <x:v>明</x:v>
      </x:c>
      <x:c r="H10" s="80" t="str">
        <x:v>早</x:v>
      </x:c>
      <x:c r="I10" s="80" t="str">
        <x:v>遅</x:v>
      </x:c>
      <x:c r="J10" s="80" t="str">
        <x:v>遅</x:v>
      </x:c>
      <x:c r="K10" s="80" t="str">
        <x:v>休</x:v>
      </x:c>
      <x:c r="L10" s="72" t="n">
        <x:f>COUNTIFS(D10:J10,"早")*'勤務区分'!$G$6+COUNTIFS(D10:J10,"遅")*'勤務区分'!$G$7+COUNTIFS(D10:J10,"日")*'勤務区分'!$G$8+COUNTIFS(D10:J10,"午")*'勤務区分'!$G$9+COUNTIFS(D10:J10,"後")*'勤務区分'!$G$10+COUNTIFS(D10:J10,"短A")*'勤務区分'!$G$11+COUNTIFS(D10:J10,"短B")*'勤務区分'!$G$12+(COUNTIFS(D10:J10,"夜")+COUNTIFS(D10:J10,"統"))*'勤務区分'!$G$13</x:f>
        <x:v>45.99999999999999</x:v>
      </x:c>
      <x:c r="M10" s="72" t="n">
        <x:f>'職員マスター'!O9</x:f>
        <x:v>40</x:v>
      </x:c>
      <x:c r="N10" s="72" t="n">
        <x:f>MAX(0,L10-M10)</x:f>
        <x:v>5.999999999999993</x:v>
      </x:c>
      <x:c r="O10" s="56" t="n">
        <x:f>IF('職員マスター'!F9="不可",COUNTIFS(D10:J10,"夜")+COUNTIFS(D10:J10,"統"),0)</x:f>
        <x:v>0</x:v>
      </x:c>
      <x:c r="P10" s="56" t="n">
        <x:f>IF(OR(D10="休",D10="有",D10="明"),0,IF(D10="統",IF('職員マスター'!M9="可",0,1),IF(ISNUMBER(SEARCH("・"&amp;D10&amp;"・","・"&amp;'職員マスター'!N9&amp;"・")),0,1)))+IF(OR(E10="休",E10="有",E10="明"),0,IF(E10="統",IF('職員マスター'!M9="可",0,1),IF(ISNUMBER(SEARCH("・"&amp;E10&amp;"・","・"&amp;'職員マスター'!N9&amp;"・")),0,1)))+IF(OR(F10="休",F10="有",F10="明"),0,IF(F10="統",IF('職員マスター'!M9="可",0,1),IF(ISNUMBER(SEARCH("・"&amp;F10&amp;"・","・"&amp;'職員マスター'!N9&amp;"・")),0,1)))+IF(OR(G10="休",G10="有",G10="明"),0,IF(G10="統",IF('職員マスター'!M9="可",0,1),IF(ISNUMBER(SEARCH("・"&amp;G10&amp;"・","・"&amp;'職員マスター'!N9&amp;"・")),0,1)))+IF(OR(H10="休",H10="有",H10="明"),0,IF(H10="統",IF('職員マスター'!M9="可",0,1),IF(ISNUMBER(SEARCH("・"&amp;H10&amp;"・","・"&amp;'職員マスター'!N9&amp;"・")),0,1)))+IF(OR(I10="休",I10="有",I10="明"),0,IF(I10="統",IF('職員マスター'!M9="可",0,1),IF(ISNUMBER(SEARCH("・"&amp;I10&amp;"・","・"&amp;'職員マスター'!N9&amp;"・")),0,1)))+IF(OR(J10="休",J10="有",J10="明"),0,IF(J10="統",IF('職員マスター'!M9="可",0,1),IF(ISNUMBER(SEARCH("・"&amp;J10&amp;"・","・"&amp;'職員マスター'!N9&amp;"・")),0,1)))</x:f>
        <x:v>0</x:v>
      </x:c>
      <x:c r="Q10" s="56" t="n">
        <x:f>IF(OR(C10="夜",C10="統"),IF(D10="明",0,1),IF(D10="明",1,0))+IF(OR(D10="夜",D10="統"),IF(E10="明",0,1),IF(E10="明",1,0))+IF(OR(E10="夜",E10="統"),IF(F10="明",0,1),IF(F10="明",1,0))+IF(OR(F10="夜",F10="統"),IF(G10="明",0,1),IF(G10="明",1,0))+IF(OR(G10="夜",G10="統"),IF(H10="明",0,1),IF(H10="明",1,0))+IF(OR(H10="夜",H10="統"),IF(I10="明",0,1),IF(I10="明",1,0))+IF(OR(I10="夜",I10="統"),IF(J10="明",0,1),IF(J10="明",1,0))</x:f>
        <x:v>0</x:v>
      </x:c>
    </x:row>
    <x:row r="11" ht="26" customHeight="1">
      <x:c r="A11" s="56" t="str">
        <x:v>1F-05</x:v>
      </x:c>
      <x:c r="B11" s="56" t="str">
        <x:v>1F</x:v>
      </x:c>
      <x:c r="C11" s="80" t="str">
        <x:v>休</x:v>
      </x:c>
      <x:c r="D11" s="80" t="str">
        <x:v>夜</x:v>
      </x:c>
      <x:c r="E11" s="80" t="str">
        <x:v>明</x:v>
      </x:c>
      <x:c r="F11" s="80" t="str">
        <x:v>早</x:v>
      </x:c>
      <x:c r="G11" s="80" t="str">
        <x:v>統</x:v>
      </x:c>
      <x:c r="H11" s="80" t="str">
        <x:v>明</x:v>
      </x:c>
      <x:c r="I11" s="80" t="str">
        <x:v>早</x:v>
      </x:c>
      <x:c r="J11" s="80" t="str">
        <x:v>早</x:v>
      </x:c>
      <x:c r="K11" s="80" t="str">
        <x:v>休</x:v>
      </x:c>
      <x:c r="L11" s="72" t="n">
        <x:f>COUNTIFS(D11:J11,"早")*'勤務区分'!$G$6+COUNTIFS(D11:J11,"遅")*'勤務区分'!$G$7+COUNTIFS(D11:J11,"日")*'勤務区分'!$G$8+COUNTIFS(D11:J11,"午")*'勤務区分'!$G$9+COUNTIFS(D11:J11,"後")*'勤務区分'!$G$10+COUNTIFS(D11:J11,"短A")*'勤務区分'!$G$11+COUNTIFS(D11:J11,"短B")*'勤務区分'!$G$12+(COUNTIFS(D11:J11,"夜")+COUNTIFS(D11:J11,"統"))*'勤務区分'!$G$13</x:f>
        <x:v>51.99999999999999</x:v>
      </x:c>
      <x:c r="M11" s="72" t="n">
        <x:f>'職員マスター'!O10</x:f>
        <x:v>40</x:v>
      </x:c>
      <x:c r="N11" s="72" t="n">
        <x:f>MAX(0,L11-M11)</x:f>
        <x:v>11.999999999999993</x:v>
      </x:c>
      <x:c r="O11" s="56" t="n">
        <x:f>IF('職員マスター'!F10="不可",COUNTIFS(D11:J11,"夜")+COUNTIFS(D11:J11,"統"),0)</x:f>
        <x:v>0</x:v>
      </x:c>
      <x:c r="P11" s="56" t="n">
        <x:f>IF(OR(D11="休",D11="有",D11="明"),0,IF(D11="統",IF('職員マスター'!M10="可",0,1),IF(ISNUMBER(SEARCH("・"&amp;D11&amp;"・","・"&amp;'職員マスター'!N10&amp;"・")),0,1)))+IF(OR(E11="休",E11="有",E11="明"),0,IF(E11="統",IF('職員マスター'!M10="可",0,1),IF(ISNUMBER(SEARCH("・"&amp;E11&amp;"・","・"&amp;'職員マスター'!N10&amp;"・")),0,1)))+IF(OR(F11="休",F11="有",F11="明"),0,IF(F11="統",IF('職員マスター'!M10="可",0,1),IF(ISNUMBER(SEARCH("・"&amp;F11&amp;"・","・"&amp;'職員マスター'!N10&amp;"・")),0,1)))+IF(OR(G11="休",G11="有",G11="明"),0,IF(G11="統",IF('職員マスター'!M10="可",0,1),IF(ISNUMBER(SEARCH("・"&amp;G11&amp;"・","・"&amp;'職員マスター'!N10&amp;"・")),0,1)))+IF(OR(H11="休",H11="有",H11="明"),0,IF(H11="統",IF('職員マスター'!M10="可",0,1),IF(ISNUMBER(SEARCH("・"&amp;H11&amp;"・","・"&amp;'職員マスター'!N10&amp;"・")),0,1)))+IF(OR(I11="休",I11="有",I11="明"),0,IF(I11="統",IF('職員マスター'!M10="可",0,1),IF(ISNUMBER(SEARCH("・"&amp;I11&amp;"・","・"&amp;'職員マスター'!N10&amp;"・")),0,1)))+IF(OR(J11="休",J11="有",J11="明"),0,IF(J11="統",IF('職員マスター'!M10="可",0,1),IF(ISNUMBER(SEARCH("・"&amp;J11&amp;"・","・"&amp;'職員マスター'!N10&amp;"・")),0,1)))</x:f>
        <x:v>0</x:v>
      </x:c>
      <x:c r="Q11" s="56" t="n">
        <x:f>IF(OR(C11="夜",C11="統"),IF(D11="明",0,1),IF(D11="明",1,0))+IF(OR(D11="夜",D11="統"),IF(E11="明",0,1),IF(E11="明",1,0))+IF(OR(E11="夜",E11="統"),IF(F11="明",0,1),IF(F11="明",1,0))+IF(OR(F11="夜",F11="統"),IF(G11="明",0,1),IF(G11="明",1,0))+IF(OR(G11="夜",G11="統"),IF(H11="明",0,1),IF(H11="明",1,0))+IF(OR(H11="夜",H11="統"),IF(I11="明",0,1),IF(I11="明",1,0))+IF(OR(I11="夜",I11="統"),IF(J11="明",0,1),IF(J11="明",1,0))</x:f>
        <x:v>0</x:v>
      </x:c>
    </x:row>
    <x:row r="12" ht="26" customHeight="1">
      <x:c r="A12" s="56" t="str">
        <x:v>1F-06</x:v>
      </x:c>
      <x:c r="B12" s="56" t="str">
        <x:v>1F</x:v>
      </x:c>
      <x:c r="C12" s="80" t="str">
        <x:v>休</x:v>
      </x:c>
      <x:c r="D12" s="80" t="str">
        <x:v>夜</x:v>
      </x:c>
      <x:c r="E12" s="80" t="str">
        <x:v>明</x:v>
      </x:c>
      <x:c r="F12" s="80" t="str">
        <x:v>早</x:v>
      </x:c>
      <x:c r="G12" s="80" t="str">
        <x:v>統</x:v>
      </x:c>
      <x:c r="H12" s="80" t="str">
        <x:v>明</x:v>
      </x:c>
      <x:c r="I12" s="80" t="str">
        <x:v>早</x:v>
      </x:c>
      <x:c r="J12" s="80" t="str">
        <x:v>早</x:v>
      </x:c>
      <x:c r="K12" s="80" t="str">
        <x:v>休</x:v>
      </x:c>
      <x:c r="L12" s="72" t="n">
        <x:f>COUNTIFS(D12:J12,"早")*'勤務区分'!$G$6+COUNTIFS(D12:J12,"遅")*'勤務区分'!$G$7+COUNTIFS(D12:J12,"日")*'勤務区分'!$G$8+COUNTIFS(D12:J12,"午")*'勤務区分'!$G$9+COUNTIFS(D12:J12,"後")*'勤務区分'!$G$10+COUNTIFS(D12:J12,"短A")*'勤務区分'!$G$11+COUNTIFS(D12:J12,"短B")*'勤務区分'!$G$12+(COUNTIFS(D12:J12,"夜")+COUNTIFS(D12:J12,"統"))*'勤務区分'!$G$13</x:f>
        <x:v>51.99999999999999</x:v>
      </x:c>
      <x:c r="M12" s="72" t="n">
        <x:f>'職員マスター'!O11</x:f>
        <x:v>40</x:v>
      </x:c>
      <x:c r="N12" s="72" t="n">
        <x:f>MAX(0,L12-M12)</x:f>
        <x:v>11.999999999999993</x:v>
      </x:c>
      <x:c r="O12" s="56" t="n">
        <x:f>IF('職員マスター'!F11="不可",COUNTIFS(D12:J12,"夜")+COUNTIFS(D12:J12,"統"),0)</x:f>
        <x:v>0</x:v>
      </x:c>
      <x:c r="P12" s="56" t="n">
        <x:f>IF(OR(D12="休",D12="有",D12="明"),0,IF(D12="統",IF('職員マスター'!M11="可",0,1),IF(ISNUMBER(SEARCH("・"&amp;D12&amp;"・","・"&amp;'職員マスター'!N11&amp;"・")),0,1)))+IF(OR(E12="休",E12="有",E12="明"),0,IF(E12="統",IF('職員マスター'!M11="可",0,1),IF(ISNUMBER(SEARCH("・"&amp;E12&amp;"・","・"&amp;'職員マスター'!N11&amp;"・")),0,1)))+IF(OR(F12="休",F12="有",F12="明"),0,IF(F12="統",IF('職員マスター'!M11="可",0,1),IF(ISNUMBER(SEARCH("・"&amp;F12&amp;"・","・"&amp;'職員マスター'!N11&amp;"・")),0,1)))+IF(OR(G12="休",G12="有",G12="明"),0,IF(G12="統",IF('職員マスター'!M11="可",0,1),IF(ISNUMBER(SEARCH("・"&amp;G12&amp;"・","・"&amp;'職員マスター'!N11&amp;"・")),0,1)))+IF(OR(H12="休",H12="有",H12="明"),0,IF(H12="統",IF('職員マスター'!M11="可",0,1),IF(ISNUMBER(SEARCH("・"&amp;H12&amp;"・","・"&amp;'職員マスター'!N11&amp;"・")),0,1)))+IF(OR(I12="休",I12="有",I12="明"),0,IF(I12="統",IF('職員マスター'!M11="可",0,1),IF(ISNUMBER(SEARCH("・"&amp;I12&amp;"・","・"&amp;'職員マスター'!N11&amp;"・")),0,1)))+IF(OR(J12="休",J12="有",J12="明"),0,IF(J12="統",IF('職員マスター'!M11="可",0,1),IF(ISNUMBER(SEARCH("・"&amp;J12&amp;"・","・"&amp;'職員マスター'!N11&amp;"・")),0,1)))</x:f>
        <x:v>0</x:v>
      </x:c>
      <x:c r="Q12" s="56" t="n">
        <x:f>IF(OR(C12="夜",C12="統"),IF(D12="明",0,1),IF(D12="明",1,0))+IF(OR(D12="夜",D12="統"),IF(E12="明",0,1),IF(E12="明",1,0))+IF(OR(E12="夜",E12="統"),IF(F12="明",0,1),IF(F12="明",1,0))+IF(OR(F12="夜",F12="統"),IF(G12="明",0,1),IF(G12="明",1,0))+IF(OR(G12="夜",G12="統"),IF(H12="明",0,1),IF(H12="明",1,0))+IF(OR(H12="夜",H12="統"),IF(I12="明",0,1),IF(I12="明",1,0))+IF(OR(I12="夜",I12="統"),IF(J12="明",0,1),IF(J12="明",1,0))</x:f>
        <x:v>0</x:v>
      </x:c>
    </x:row>
    <x:row r="13" ht="26" customHeight="1">
      <x:c r="A13" s="56" t="str">
        <x:v>1F-07</x:v>
      </x:c>
      <x:c r="B13" s="56" t="str">
        <x:v>1F</x:v>
      </x:c>
      <x:c r="C13" s="80" t="str">
        <x:v>休</x:v>
      </x:c>
      <x:c r="D13" s="80" t="str">
        <x:v>早</x:v>
      </x:c>
      <x:c r="E13" s="80" t="str">
        <x:v>夜</x:v>
      </x:c>
      <x:c r="F13" s="80" t="str">
        <x:v>明</x:v>
      </x:c>
      <x:c r="G13" s="80" t="str">
        <x:v>早</x:v>
      </x:c>
      <x:c r="H13" s="80" t="str">
        <x:v>遅</x:v>
      </x:c>
      <x:c r="I13" s="80" t="str">
        <x:v>夜</x:v>
      </x:c>
      <x:c r="J13" s="80" t="str">
        <x:v>明</x:v>
      </x:c>
      <x:c r="K13" s="80" t="str">
        <x:v>休</x:v>
      </x:c>
      <x:c r="L13" s="72" t="n">
        <x:f>COUNTIFS(D13:J13,"早")*'勤務区分'!$G$6+COUNTIFS(D13:J13,"遅")*'勤務区分'!$G$7+COUNTIFS(D13:J13,"日")*'勤務区分'!$G$8+COUNTIFS(D13:J13,"午")*'勤務区分'!$G$9+COUNTIFS(D13:J13,"後")*'勤務区分'!$G$10+COUNTIFS(D13:J13,"短A")*'勤務区分'!$G$11+COUNTIFS(D13:J13,"短B")*'勤務区分'!$G$12+(COUNTIFS(D13:J13,"夜")+COUNTIFS(D13:J13,"統"))*'勤務区分'!$G$13</x:f>
        <x:v>51.99999999999999</x:v>
      </x:c>
      <x:c r="M13" s="72" t="n">
        <x:f>'職員マスター'!O12</x:f>
        <x:v>40</x:v>
      </x:c>
      <x:c r="N13" s="72" t="n">
        <x:f>MAX(0,L13-M13)</x:f>
        <x:v>11.999999999999993</x:v>
      </x:c>
      <x:c r="O13" s="56" t="n">
        <x:f>IF('職員マスター'!F12="不可",COUNTIFS(D13:J13,"夜")+COUNTIFS(D13:J13,"統"),0)</x:f>
        <x:v>0</x:v>
      </x:c>
      <x:c r="P13" s="56" t="n">
        <x:f>IF(OR(D13="休",D13="有",D13="明"),0,IF(D13="統",IF('職員マスター'!M12="可",0,1),IF(ISNUMBER(SEARCH("・"&amp;D13&amp;"・","・"&amp;'職員マスター'!N12&amp;"・")),0,1)))+IF(OR(E13="休",E13="有",E13="明"),0,IF(E13="統",IF('職員マスター'!M12="可",0,1),IF(ISNUMBER(SEARCH("・"&amp;E13&amp;"・","・"&amp;'職員マスター'!N12&amp;"・")),0,1)))+IF(OR(F13="休",F13="有",F13="明"),0,IF(F13="統",IF('職員マスター'!M12="可",0,1),IF(ISNUMBER(SEARCH("・"&amp;F13&amp;"・","・"&amp;'職員マスター'!N12&amp;"・")),0,1)))+IF(OR(G13="休",G13="有",G13="明"),0,IF(G13="統",IF('職員マスター'!M12="可",0,1),IF(ISNUMBER(SEARCH("・"&amp;G13&amp;"・","・"&amp;'職員マスター'!N12&amp;"・")),0,1)))+IF(OR(H13="休",H13="有",H13="明"),0,IF(H13="統",IF('職員マスター'!M12="可",0,1),IF(ISNUMBER(SEARCH("・"&amp;H13&amp;"・","・"&amp;'職員マスター'!N12&amp;"・")),0,1)))+IF(OR(I13="休",I13="有",I13="明"),0,IF(I13="統",IF('職員マスター'!M12="可",0,1),IF(ISNUMBER(SEARCH("・"&amp;I13&amp;"・","・"&amp;'職員マスター'!N12&amp;"・")),0,1)))+IF(OR(J13="休",J13="有",J13="明"),0,IF(J13="統",IF('職員マスター'!M12="可",0,1),IF(ISNUMBER(SEARCH("・"&amp;J13&amp;"・","・"&amp;'職員マスター'!N12&amp;"・")),0,1)))</x:f>
        <x:v>0</x:v>
      </x:c>
      <x:c r="Q13" s="56" t="n">
        <x:f>IF(OR(C13="夜",C13="統"),IF(D13="明",0,1),IF(D13="明",1,0))+IF(OR(D13="夜",D13="統"),IF(E13="明",0,1),IF(E13="明",1,0))+IF(OR(E13="夜",E13="統"),IF(F13="明",0,1),IF(F13="明",1,0))+IF(OR(F13="夜",F13="統"),IF(G13="明",0,1),IF(G13="明",1,0))+IF(OR(G13="夜",G13="統"),IF(H13="明",0,1),IF(H13="明",1,0))+IF(OR(H13="夜",H13="統"),IF(I13="明",0,1),IF(I13="明",1,0))+IF(OR(I13="夜",I13="統"),IF(J13="明",0,1),IF(J13="明",1,0))</x:f>
        <x:v>0</x:v>
      </x:c>
    </x:row>
    <x:row r="14" ht="26" customHeight="1">
      <x:c r="A14" s="56" t="str">
        <x:v>1F-08</x:v>
      </x:c>
      <x:c r="B14" s="56" t="str">
        <x:v>1F</x:v>
      </x:c>
      <x:c r="C14" s="80" t="str">
        <x:v>休</x:v>
      </x:c>
      <x:c r="D14" s="80" t="str">
        <x:v>早</x:v>
      </x:c>
      <x:c r="E14" s="80" t="str">
        <x:v>夜</x:v>
      </x:c>
      <x:c r="F14" s="80" t="str">
        <x:v>明</x:v>
      </x:c>
      <x:c r="G14" s="80" t="str">
        <x:v>早</x:v>
      </x:c>
      <x:c r="H14" s="80" t="str">
        <x:v>遅</x:v>
      </x:c>
      <x:c r="I14" s="80" t="str">
        <x:v>夜</x:v>
      </x:c>
      <x:c r="J14" s="80" t="str">
        <x:v>明</x:v>
      </x:c>
      <x:c r="K14" s="80" t="str">
        <x:v>休</x:v>
      </x:c>
      <x:c r="L14" s="72" t="n">
        <x:f>COUNTIFS(D14:J14,"早")*'勤務区分'!$G$6+COUNTIFS(D14:J14,"遅")*'勤務区分'!$G$7+COUNTIFS(D14:J14,"日")*'勤務区分'!$G$8+COUNTIFS(D14:J14,"午")*'勤務区分'!$G$9+COUNTIFS(D14:J14,"後")*'勤務区分'!$G$10+COUNTIFS(D14:J14,"短A")*'勤務区分'!$G$11+COUNTIFS(D14:J14,"短B")*'勤務区分'!$G$12+(COUNTIFS(D14:J14,"夜")+COUNTIFS(D14:J14,"統"))*'勤務区分'!$G$13</x:f>
        <x:v>51.99999999999999</x:v>
      </x:c>
      <x:c r="M14" s="72" t="n">
        <x:f>'職員マスター'!O13</x:f>
        <x:v>40</x:v>
      </x:c>
      <x:c r="N14" s="72" t="n">
        <x:f>MAX(0,L14-M14)</x:f>
        <x:v>11.999999999999993</x:v>
      </x:c>
      <x:c r="O14" s="56" t="n">
        <x:f>IF('職員マスター'!F13="不可",COUNTIFS(D14:J14,"夜")+COUNTIFS(D14:J14,"統"),0)</x:f>
        <x:v>0</x:v>
      </x:c>
      <x:c r="P14" s="56" t="n">
        <x:f>IF(OR(D14="休",D14="有",D14="明"),0,IF(D14="統",IF('職員マスター'!M13="可",0,1),IF(ISNUMBER(SEARCH("・"&amp;D14&amp;"・","・"&amp;'職員マスター'!N13&amp;"・")),0,1)))+IF(OR(E14="休",E14="有",E14="明"),0,IF(E14="統",IF('職員マスター'!M13="可",0,1),IF(ISNUMBER(SEARCH("・"&amp;E14&amp;"・","・"&amp;'職員マスター'!N13&amp;"・")),0,1)))+IF(OR(F14="休",F14="有",F14="明"),0,IF(F14="統",IF('職員マスター'!M13="可",0,1),IF(ISNUMBER(SEARCH("・"&amp;F14&amp;"・","・"&amp;'職員マスター'!N13&amp;"・")),0,1)))+IF(OR(G14="休",G14="有",G14="明"),0,IF(G14="統",IF('職員マスター'!M13="可",0,1),IF(ISNUMBER(SEARCH("・"&amp;G14&amp;"・","・"&amp;'職員マスター'!N13&amp;"・")),0,1)))+IF(OR(H14="休",H14="有",H14="明"),0,IF(H14="統",IF('職員マスター'!M13="可",0,1),IF(ISNUMBER(SEARCH("・"&amp;H14&amp;"・","・"&amp;'職員マスター'!N13&amp;"・")),0,1)))+IF(OR(I14="休",I14="有",I14="明"),0,IF(I14="統",IF('職員マスター'!M13="可",0,1),IF(ISNUMBER(SEARCH("・"&amp;I14&amp;"・","・"&amp;'職員マスター'!N13&amp;"・")),0,1)))+IF(OR(J14="休",J14="有",J14="明"),0,IF(J14="統",IF('職員マスター'!M13="可",0,1),IF(ISNUMBER(SEARCH("・"&amp;J14&amp;"・","・"&amp;'職員マスター'!N13&amp;"・")),0,1)))</x:f>
        <x:v>0</x:v>
      </x:c>
      <x:c r="Q14" s="56" t="n">
        <x:f>IF(OR(C14="夜",C14="統"),IF(D14="明",0,1),IF(D14="明",1,0))+IF(OR(D14="夜",D14="統"),IF(E14="明",0,1),IF(E14="明",1,0))+IF(OR(E14="夜",E14="統"),IF(F14="明",0,1),IF(F14="明",1,0))+IF(OR(F14="夜",F14="統"),IF(G14="明",0,1),IF(G14="明",1,0))+IF(OR(G14="夜",G14="統"),IF(H14="明",0,1),IF(H14="明",1,0))+IF(OR(H14="夜",H14="統"),IF(I14="明",0,1),IF(I14="明",1,0))+IF(OR(I14="夜",I14="統"),IF(J14="明",0,1),IF(J14="明",1,0))</x:f>
        <x:v>0</x:v>
      </x:c>
    </x:row>
    <x:row r="15" ht="26" customHeight="1">
      <x:c r="A15" s="56" t="str">
        <x:v>1F-09</x:v>
      </x:c>
      <x:c r="B15" s="56" t="str">
        <x:v>1F</x:v>
      </x:c>
      <x:c r="C15" s="80" t="str">
        <x:v>休</x:v>
      </x:c>
      <x:c r="D15" s="80" t="str">
        <x:v>早</x:v>
      </x:c>
      <x:c r="E15" s="80" t="str">
        <x:v>遅</x:v>
      </x:c>
      <x:c r="F15" s="80" t="str">
        <x:v>夜</x:v>
      </x:c>
      <x:c r="G15" s="80" t="str">
        <x:v>明</x:v>
      </x:c>
      <x:c r="H15" s="80" t="str">
        <x:v>遅</x:v>
      </x:c>
      <x:c r="I15" s="80" t="str">
        <x:v>遅</x:v>
      </x:c>
      <x:c r="J15" s="80" t="str">
        <x:v>夜</x:v>
      </x:c>
      <x:c r="K15" s="80" t="str">
        <x:v>明</x:v>
      </x:c>
      <x:c r="L15" s="72" t="n">
        <x:f>COUNTIFS(D15:J15,"早")*'勤務区分'!$G$6+COUNTIFS(D15:J15,"遅")*'勤務区分'!$G$7+COUNTIFS(D15:J15,"日")*'勤務区分'!$G$8+COUNTIFS(D15:J15,"午")*'勤務区分'!$G$9+COUNTIFS(D15:J15,"後")*'勤務区分'!$G$10+COUNTIFS(D15:J15,"短A")*'勤務区分'!$G$11+COUNTIFS(D15:J15,"短B")*'勤務区分'!$G$12+(COUNTIFS(D15:J15,"夜")+COUNTIFS(D15:J15,"統"))*'勤務区分'!$G$13</x:f>
        <x:v>59.99999999999999</x:v>
      </x:c>
      <x:c r="M15" s="72" t="n">
        <x:f>'職員マスター'!O14</x:f>
        <x:v>40</x:v>
      </x:c>
      <x:c r="N15" s="72" t="n">
        <x:f>MAX(0,L15-M15)</x:f>
        <x:v>19.999999999999993</x:v>
      </x:c>
      <x:c r="O15" s="56" t="n">
        <x:f>IF('職員マスター'!F14="不可",COUNTIFS(D15:J15,"夜")+COUNTIFS(D15:J15,"統"),0)</x:f>
        <x:v>0</x:v>
      </x:c>
      <x:c r="P15" s="56" t="n">
        <x:f>IF(OR(D15="休",D15="有",D15="明"),0,IF(D15="統",IF('職員マスター'!M14="可",0,1),IF(ISNUMBER(SEARCH("・"&amp;D15&amp;"・","・"&amp;'職員マスター'!N14&amp;"・")),0,1)))+IF(OR(E15="休",E15="有",E15="明"),0,IF(E15="統",IF('職員マスター'!M14="可",0,1),IF(ISNUMBER(SEARCH("・"&amp;E15&amp;"・","・"&amp;'職員マスター'!N14&amp;"・")),0,1)))+IF(OR(F15="休",F15="有",F15="明"),0,IF(F15="統",IF('職員マスター'!M14="可",0,1),IF(ISNUMBER(SEARCH("・"&amp;F15&amp;"・","・"&amp;'職員マスター'!N14&amp;"・")),0,1)))+IF(OR(G15="休",G15="有",G15="明"),0,IF(G15="統",IF('職員マスター'!M14="可",0,1),IF(ISNUMBER(SEARCH("・"&amp;G15&amp;"・","・"&amp;'職員マスター'!N14&amp;"・")),0,1)))+IF(OR(H15="休",H15="有",H15="明"),0,IF(H15="統",IF('職員マスター'!M14="可",0,1),IF(ISNUMBER(SEARCH("・"&amp;H15&amp;"・","・"&amp;'職員マスター'!N14&amp;"・")),0,1)))+IF(OR(I15="休",I15="有",I15="明"),0,IF(I15="統",IF('職員マスター'!M14="可",0,1),IF(ISNUMBER(SEARCH("・"&amp;I15&amp;"・","・"&amp;'職員マスター'!N14&amp;"・")),0,1)))+IF(OR(J15="休",J15="有",J15="明"),0,IF(J15="統",IF('職員マスター'!M14="可",0,1),IF(ISNUMBER(SEARCH("・"&amp;J15&amp;"・","・"&amp;'職員マスター'!N14&amp;"・")),0,1)))</x:f>
        <x:v>0</x:v>
      </x:c>
      <x:c r="Q15" s="56" t="n">
        <x:f>IF(OR(C15="夜",C15="統"),IF(D15="明",0,1),IF(D15="明",1,0))+IF(OR(D15="夜",D15="統"),IF(E15="明",0,1),IF(E15="明",1,0))+IF(OR(E15="夜",E15="統"),IF(F15="明",0,1),IF(F15="明",1,0))+IF(OR(F15="夜",F15="統"),IF(G15="明",0,1),IF(G15="明",1,0))+IF(OR(G15="夜",G15="統"),IF(H15="明",0,1),IF(H15="明",1,0))+IF(OR(H15="夜",H15="統"),IF(I15="明",0,1),IF(I15="明",1,0))+IF(OR(I15="夜",I15="統"),IF(J15="明",0,1),IF(J15="明",1,0))</x:f>
        <x:v>0</x:v>
      </x:c>
    </x:row>
    <x:row r="16" ht="26" customHeight="1">
      <x:c r="A16" s="56" t="str">
        <x:v>1F-10</x:v>
      </x:c>
      <x:c r="B16" s="56" t="str">
        <x:v>1F</x:v>
      </x:c>
      <x:c r="C16" s="80" t="str">
        <x:v>休</x:v>
      </x:c>
      <x:c r="D16" s="80" t="str">
        <x:v>早</x:v>
      </x:c>
      <x:c r="E16" s="80" t="str">
        <x:v>遅</x:v>
      </x:c>
      <x:c r="F16" s="80" t="str">
        <x:v>夜</x:v>
      </x:c>
      <x:c r="G16" s="80" t="str">
        <x:v>明</x:v>
      </x:c>
      <x:c r="H16" s="80" t="str">
        <x:v>遅</x:v>
      </x:c>
      <x:c r="I16" s="80" t="str">
        <x:v>休</x:v>
      </x:c>
      <x:c r="J16" s="80" t="str">
        <x:v>夜</x:v>
      </x:c>
      <x:c r="K16" s="80" t="str">
        <x:v>明</x:v>
      </x:c>
      <x:c r="L16" s="72" t="n">
        <x:f>COUNTIFS(D16:J16,"早")*'勤務区分'!$G$6+COUNTIFS(D16:J16,"遅")*'勤務区分'!$G$7+COUNTIFS(D16:J16,"日")*'勤務区分'!$G$8+COUNTIFS(D16:J16,"午")*'勤務区分'!$G$9+COUNTIFS(D16:J16,"後")*'勤務区分'!$G$10+COUNTIFS(D16:J16,"短A")*'勤務区分'!$G$11+COUNTIFS(D16:J16,"短B")*'勤務区分'!$G$12+(COUNTIFS(D16:J16,"夜")+COUNTIFS(D16:J16,"統"))*'勤務区分'!$G$13</x:f>
        <x:v>51.99999999999999</x:v>
      </x:c>
      <x:c r="M16" s="72" t="n">
        <x:f>'職員マスター'!O15</x:f>
        <x:v>40</x:v>
      </x:c>
      <x:c r="N16" s="72" t="n">
        <x:f>MAX(0,L16-M16)</x:f>
        <x:v>11.999999999999993</x:v>
      </x:c>
      <x:c r="O16" s="56" t="n">
        <x:f>IF('職員マスター'!F15="不可",COUNTIFS(D16:J16,"夜")+COUNTIFS(D16:J16,"統"),0)</x:f>
        <x:v>0</x:v>
      </x:c>
      <x:c r="P16" s="56" t="n">
        <x:f>IF(OR(D16="休",D16="有",D16="明"),0,IF(D16="統",IF('職員マスター'!M15="可",0,1),IF(ISNUMBER(SEARCH("・"&amp;D16&amp;"・","・"&amp;'職員マスター'!N15&amp;"・")),0,1)))+IF(OR(E16="休",E16="有",E16="明"),0,IF(E16="統",IF('職員マスター'!M15="可",0,1),IF(ISNUMBER(SEARCH("・"&amp;E16&amp;"・","・"&amp;'職員マスター'!N15&amp;"・")),0,1)))+IF(OR(F16="休",F16="有",F16="明"),0,IF(F16="統",IF('職員マスター'!M15="可",0,1),IF(ISNUMBER(SEARCH("・"&amp;F16&amp;"・","・"&amp;'職員マスター'!N15&amp;"・")),0,1)))+IF(OR(G16="休",G16="有",G16="明"),0,IF(G16="統",IF('職員マスター'!M15="可",0,1),IF(ISNUMBER(SEARCH("・"&amp;G16&amp;"・","・"&amp;'職員マスター'!N15&amp;"・")),0,1)))+IF(OR(H16="休",H16="有",H16="明"),0,IF(H16="統",IF('職員マスター'!M15="可",0,1),IF(ISNUMBER(SEARCH("・"&amp;H16&amp;"・","・"&amp;'職員マスター'!N15&amp;"・")),0,1)))+IF(OR(I16="休",I16="有",I16="明"),0,IF(I16="統",IF('職員マスター'!M15="可",0,1),IF(ISNUMBER(SEARCH("・"&amp;I16&amp;"・","・"&amp;'職員マスター'!N15&amp;"・")),0,1)))+IF(OR(J16="休",J16="有",J16="明"),0,IF(J16="統",IF('職員マスター'!M15="可",0,1),IF(ISNUMBER(SEARCH("・"&amp;J16&amp;"・","・"&amp;'職員マスター'!N15&amp;"・")),0,1)))</x:f>
        <x:v>0</x:v>
      </x:c>
      <x:c r="Q16" s="56" t="n">
        <x:f>IF(OR(C16="夜",C16="統"),IF(D16="明",0,1),IF(D16="明",1,0))+IF(OR(D16="夜",D16="統"),IF(E16="明",0,1),IF(E16="明",1,0))+IF(OR(E16="夜",E16="統"),IF(F16="明",0,1),IF(F16="明",1,0))+IF(OR(F16="夜",F16="統"),IF(G16="明",0,1),IF(G16="明",1,0))+IF(OR(G16="夜",G16="統"),IF(H16="明",0,1),IF(H16="明",1,0))+IF(OR(H16="夜",H16="統"),IF(I16="明",0,1),IF(I16="明",1,0))+IF(OR(I16="夜",I16="統"),IF(J16="明",0,1),IF(J16="明",1,0))</x:f>
        <x:v>0</x:v>
      </x:c>
    </x:row>
    <x:row r="17" ht="26" customHeight="1">
      <x:c r="A17" s="56" t="str">
        <x:v>1F-11</x:v>
      </x:c>
      <x:c r="B17" s="56" t="str">
        <x:v>1F</x:v>
      </x:c>
      <x:c r="C17" s="80" t="str">
        <x:v>休</x:v>
      </x:c>
      <x:c r="D17" s="80" t="str">
        <x:v>遅</x:v>
      </x:c>
      <x:c r="E17" s="80" t="str">
        <x:v>遅</x:v>
      </x:c>
      <x:c r="F17" s="80" t="str">
        <x:v>遅</x:v>
      </x:c>
      <x:c r="G17" s="80" t="str">
        <x:v>遅</x:v>
      </x:c>
      <x:c r="H17" s="80" t="str">
        <x:v>夜</x:v>
      </x:c>
      <x:c r="I17" s="80" t="str">
        <x:v>明</x:v>
      </x:c>
      <x:c r="J17" s="80" t="str">
        <x:v>休</x:v>
      </x:c>
      <x:c r="K17" s="80" t="str">
        <x:v>夜</x:v>
      </x:c>
      <x:c r="L17" s="72" t="n">
        <x:f>COUNTIFS(D17:J17,"早")*'勤務区分'!$G$6+COUNTIFS(D17:J17,"遅")*'勤務区分'!$G$7+COUNTIFS(D17:J17,"日")*'勤務区分'!$G$8+COUNTIFS(D17:J17,"午")*'勤務区分'!$G$9+COUNTIFS(D17:J17,"後")*'勤務区分'!$G$10+COUNTIFS(D17:J17,"短A")*'勤務区分'!$G$11+COUNTIFS(D17:J17,"短B")*'勤務区分'!$G$12+(COUNTIFS(D17:J17,"夜")+COUNTIFS(D17:J17,"統"))*'勤務区分'!$G$13</x:f>
        <x:v>45.99999999999999</x:v>
      </x:c>
      <x:c r="M17" s="72" t="n">
        <x:f>'職員マスター'!O16</x:f>
        <x:v>40</x:v>
      </x:c>
      <x:c r="N17" s="72" t="n">
        <x:f>MAX(0,L17-M17)</x:f>
        <x:v>5.999999999999993</x:v>
      </x:c>
      <x:c r="O17" s="56" t="n">
        <x:f>IF('職員マスター'!F16="不可",COUNTIFS(D17:J17,"夜")+COUNTIFS(D17:J17,"統"),0)</x:f>
        <x:v>0</x:v>
      </x:c>
      <x:c r="P17" s="56" t="n">
        <x:f>IF(OR(D17="休",D17="有",D17="明"),0,IF(D17="統",IF('職員マスター'!M16="可",0,1),IF(ISNUMBER(SEARCH("・"&amp;D17&amp;"・","・"&amp;'職員マスター'!N16&amp;"・")),0,1)))+IF(OR(E17="休",E17="有",E17="明"),0,IF(E17="統",IF('職員マスター'!M16="可",0,1),IF(ISNUMBER(SEARCH("・"&amp;E17&amp;"・","・"&amp;'職員マスター'!N16&amp;"・")),0,1)))+IF(OR(F17="休",F17="有",F17="明"),0,IF(F17="統",IF('職員マスター'!M16="可",0,1),IF(ISNUMBER(SEARCH("・"&amp;F17&amp;"・","・"&amp;'職員マスター'!N16&amp;"・")),0,1)))+IF(OR(G17="休",G17="有",G17="明"),0,IF(G17="統",IF('職員マスター'!M16="可",0,1),IF(ISNUMBER(SEARCH("・"&amp;G17&amp;"・","・"&amp;'職員マスター'!N16&amp;"・")),0,1)))+IF(OR(H17="休",H17="有",H17="明"),0,IF(H17="統",IF('職員マスター'!M16="可",0,1),IF(ISNUMBER(SEARCH("・"&amp;H17&amp;"・","・"&amp;'職員マスター'!N16&amp;"・")),0,1)))+IF(OR(I17="休",I17="有",I17="明"),0,IF(I17="統",IF('職員マスター'!M16="可",0,1),IF(ISNUMBER(SEARCH("・"&amp;I17&amp;"・","・"&amp;'職員マスター'!N16&amp;"・")),0,1)))+IF(OR(J17="休",J17="有",J17="明"),0,IF(J17="統",IF('職員マスター'!M16="可",0,1),IF(ISNUMBER(SEARCH("・"&amp;J17&amp;"・","・"&amp;'職員マスター'!N16&amp;"・")),0,1)))</x:f>
        <x:v>0</x:v>
      </x:c>
      <x:c r="Q17" s="56" t="n">
        <x:f>IF(OR(C17="夜",C17="統"),IF(D17="明",0,1),IF(D17="明",1,0))+IF(OR(D17="夜",D17="統"),IF(E17="明",0,1),IF(E17="明",1,0))+IF(OR(E17="夜",E17="統"),IF(F17="明",0,1),IF(F17="明",1,0))+IF(OR(F17="夜",F17="統"),IF(G17="明",0,1),IF(G17="明",1,0))+IF(OR(G17="夜",G17="統"),IF(H17="明",0,1),IF(H17="明",1,0))+IF(OR(H17="夜",H17="統"),IF(I17="明",0,1),IF(I17="明",1,0))+IF(OR(I17="夜",I17="統"),IF(J17="明",0,1),IF(J17="明",1,0))</x:f>
        <x:v>0</x:v>
      </x:c>
    </x:row>
    <x:row r="18" ht="26" customHeight="1">
      <x:c r="A18" s="56" t="str">
        <x:v>1F-12</x:v>
      </x:c>
      <x:c r="B18" s="56" t="str">
        <x:v>1F</x:v>
      </x:c>
      <x:c r="C18" s="80" t="str">
        <x:v>休</x:v>
      </x:c>
      <x:c r="D18" s="80" t="str">
        <x:v>遅</x:v>
      </x:c>
      <x:c r="E18" s="80" t="str">
        <x:v>遅</x:v>
      </x:c>
      <x:c r="F18" s="80" t="str">
        <x:v>遅</x:v>
      </x:c>
      <x:c r="G18" s="80" t="str">
        <x:v>遅</x:v>
      </x:c>
      <x:c r="H18" s="80" t="str">
        <x:v>夜</x:v>
      </x:c>
      <x:c r="I18" s="80" t="str">
        <x:v>明</x:v>
      </x:c>
      <x:c r="J18" s="80" t="str">
        <x:v>休</x:v>
      </x:c>
      <x:c r="K18" s="80" t="str">
        <x:v>夜</x:v>
      </x:c>
      <x:c r="L18" s="72" t="n">
        <x:f>COUNTIFS(D18:J18,"早")*'勤務区分'!$G$6+COUNTIFS(D18:J18,"遅")*'勤務区分'!$G$7+COUNTIFS(D18:J18,"日")*'勤務区分'!$G$8+COUNTIFS(D18:J18,"午")*'勤務区分'!$G$9+COUNTIFS(D18:J18,"後")*'勤務区分'!$G$10+COUNTIFS(D18:J18,"短A")*'勤務区分'!$G$11+COUNTIFS(D18:J18,"短B")*'勤務区分'!$G$12+(COUNTIFS(D18:J18,"夜")+COUNTIFS(D18:J18,"統"))*'勤務区分'!$G$13</x:f>
        <x:v>45.99999999999999</x:v>
      </x:c>
      <x:c r="M18" s="72" t="n">
        <x:f>'職員マスター'!O17</x:f>
        <x:v>40</x:v>
      </x:c>
      <x:c r="N18" s="72" t="n">
        <x:f>MAX(0,L18-M18)</x:f>
        <x:v>5.999999999999993</x:v>
      </x:c>
      <x:c r="O18" s="56" t="n">
        <x:f>IF('職員マスター'!F17="不可",COUNTIFS(D18:J18,"夜")+COUNTIFS(D18:J18,"統"),0)</x:f>
        <x:v>0</x:v>
      </x:c>
      <x:c r="P18" s="56" t="n">
        <x:f>IF(OR(D18="休",D18="有",D18="明"),0,IF(D18="統",IF('職員マスター'!M17="可",0,1),IF(ISNUMBER(SEARCH("・"&amp;D18&amp;"・","・"&amp;'職員マスター'!N17&amp;"・")),0,1)))+IF(OR(E18="休",E18="有",E18="明"),0,IF(E18="統",IF('職員マスター'!M17="可",0,1),IF(ISNUMBER(SEARCH("・"&amp;E18&amp;"・","・"&amp;'職員マスター'!N17&amp;"・")),0,1)))+IF(OR(F18="休",F18="有",F18="明"),0,IF(F18="統",IF('職員マスター'!M17="可",0,1),IF(ISNUMBER(SEARCH("・"&amp;F18&amp;"・","・"&amp;'職員マスター'!N17&amp;"・")),0,1)))+IF(OR(G18="休",G18="有",G18="明"),0,IF(G18="統",IF('職員マスター'!M17="可",0,1),IF(ISNUMBER(SEARCH("・"&amp;G18&amp;"・","・"&amp;'職員マスター'!N17&amp;"・")),0,1)))+IF(OR(H18="休",H18="有",H18="明"),0,IF(H18="統",IF('職員マスター'!M17="可",0,1),IF(ISNUMBER(SEARCH("・"&amp;H18&amp;"・","・"&amp;'職員マスター'!N17&amp;"・")),0,1)))+IF(OR(I18="休",I18="有",I18="明"),0,IF(I18="統",IF('職員マスター'!M17="可",0,1),IF(ISNUMBER(SEARCH("・"&amp;I18&amp;"・","・"&amp;'職員マスター'!N17&amp;"・")),0,1)))+IF(OR(J18="休",J18="有",J18="明"),0,IF(J18="統",IF('職員マスター'!M17="可",0,1),IF(ISNUMBER(SEARCH("・"&amp;J18&amp;"・","・"&amp;'職員マスター'!N17&amp;"・")),0,1)))</x:f>
        <x:v>0</x:v>
      </x:c>
      <x:c r="Q18" s="56" t="n">
        <x:f>IF(OR(C18="夜",C18="統"),IF(D18="明",0,1),IF(D18="明",1,0))+IF(OR(D18="夜",D18="統"),IF(E18="明",0,1),IF(E18="明",1,0))+IF(OR(E18="夜",E18="統"),IF(F18="明",0,1),IF(F18="明",1,0))+IF(OR(F18="夜",F18="統"),IF(G18="明",0,1),IF(G18="明",1,0))+IF(OR(G18="夜",G18="統"),IF(H18="明",0,1),IF(H18="明",1,0))+IF(OR(H18="夜",H18="統"),IF(I18="明",0,1),IF(I18="明",1,0))+IF(OR(I18="夜",I18="統"),IF(J18="明",0,1),IF(J18="明",1,0))</x:f>
        <x:v>0</x:v>
      </x:c>
    </x:row>
    <x:row r="19" ht="26" customHeight="1">
      <x:c r="A19" s="56" t="str">
        <x:v>1F-13</x:v>
      </x:c>
      <x:c r="B19" s="56" t="str">
        <x:v>1F</x:v>
      </x:c>
      <x:c r="C19" s="80" t="str">
        <x:v>休</x:v>
      </x:c>
      <x:c r="D19" s="80" t="str">
        <x:v>遅</x:v>
      </x:c>
      <x:c r="E19" s="80" t="str">
        <x:v>日</x:v>
      </x:c>
      <x:c r="F19" s="80" t="str">
        <x:v>遅</x:v>
      </x:c>
      <x:c r="G19" s="80" t="str">
        <x:v>休</x:v>
      </x:c>
      <x:c r="H19" s="80" t="str">
        <x:v>明</x:v>
      </x:c>
      <x:c r="I19" s="80" t="str">
        <x:v>休</x:v>
      </x:c>
      <x:c r="J19" s="80" t="str">
        <x:v>遅</x:v>
      </x:c>
      <x:c r="K19" s="80" t="str">
        <x:v>休</x:v>
      </x:c>
      <x:c r="L19" s="72" t="n">
        <x:f>COUNTIFS(D19:J19,"早")*'勤務区分'!$G$6+COUNTIFS(D19:J19,"遅")*'勤務区分'!$G$7+COUNTIFS(D19:J19,"日")*'勤務区分'!$G$8+COUNTIFS(D19:J19,"午")*'勤務区分'!$G$9+COUNTIFS(D19:J19,"後")*'勤務区分'!$G$10+COUNTIFS(D19:J19,"短A")*'勤務区分'!$G$11+COUNTIFS(D19:J19,"短B")*'勤務区分'!$G$12+(COUNTIFS(D19:J19,"夜")+COUNTIFS(D19:J19,"統"))*'勤務区分'!$G$13</x:f>
        <x:v>31.999999999999993</x:v>
      </x:c>
      <x:c r="M19" s="72" t="n">
        <x:f>'職員マスター'!O18</x:f>
        <x:v>40</x:v>
      </x:c>
      <x:c r="N19" s="72" t="n">
        <x:f>MAX(0,L19-M19)</x:f>
        <x:v>0</x:v>
      </x:c>
      <x:c r="O19" s="56" t="n">
        <x:f>IF('職員マスター'!F18="不可",COUNTIFS(D19:J19,"夜")+COUNTIFS(D19:J19,"統"),0)</x:f>
        <x:v>0</x:v>
      </x:c>
      <x:c r="P19" s="56" t="n">
        <x:f>IF(OR(D19="休",D19="有",D19="明"),0,IF(D19="統",IF('職員マスター'!M18="可",0,1),IF(ISNUMBER(SEARCH("・"&amp;D19&amp;"・","・"&amp;'職員マスター'!N18&amp;"・")),0,1)))+IF(OR(E19="休",E19="有",E19="明"),0,IF(E19="統",IF('職員マスター'!M18="可",0,1),IF(ISNUMBER(SEARCH("・"&amp;E19&amp;"・","・"&amp;'職員マスター'!N18&amp;"・")),0,1)))+IF(OR(F19="休",F19="有",F19="明"),0,IF(F19="統",IF('職員マスター'!M18="可",0,1),IF(ISNUMBER(SEARCH("・"&amp;F19&amp;"・","・"&amp;'職員マスター'!N18&amp;"・")),0,1)))+IF(OR(G19="休",G19="有",G19="明"),0,IF(G19="統",IF('職員マスター'!M18="可",0,1),IF(ISNUMBER(SEARCH("・"&amp;G19&amp;"・","・"&amp;'職員マスター'!N18&amp;"・")),0,1)))+IF(OR(H19="休",H19="有",H19="明"),0,IF(H19="統",IF('職員マスター'!M18="可",0,1),IF(ISNUMBER(SEARCH("・"&amp;H19&amp;"・","・"&amp;'職員マスター'!N18&amp;"・")),0,1)))+IF(OR(I19="休",I19="有",I19="明"),0,IF(I19="統",IF('職員マスター'!M18="可",0,1),IF(ISNUMBER(SEARCH("・"&amp;I19&amp;"・","・"&amp;'職員マスター'!N18&amp;"・")),0,1)))+IF(OR(J19="休",J19="有",J19="明"),0,IF(J19="統",IF('職員マスター'!M18="可",0,1),IF(ISNUMBER(SEARCH("・"&amp;J19&amp;"・","・"&amp;'職員マスター'!N18&amp;"・")),0,1)))</x:f>
        <x:v>0</x:v>
      </x:c>
      <x:c r="Q19" s="56" t="n">
        <x:f>IF(OR(C19="夜",C19="統"),IF(D19="明",0,1),IF(D19="明",1,0))+IF(OR(D19="夜",D19="統"),IF(E19="明",0,1),IF(E19="明",1,0))+IF(OR(E19="夜",E19="統"),IF(F19="明",0,1),IF(F19="明",1,0))+IF(OR(F19="夜",F19="統"),IF(G19="明",0,1),IF(G19="明",1,0))+IF(OR(G19="夜",G19="統"),IF(H19="明",0,1),IF(H19="明",1,0))+IF(OR(H19="夜",H19="統"),IF(I19="明",0,1),IF(I19="明",1,0))+IF(OR(I19="夜",I19="統"),IF(J19="明",0,1),IF(J19="明",1,0))</x:f>
        <x:v>1</x:v>
      </x:c>
    </x:row>
    <x:row r="20" ht="26" customHeight="1">
      <x:c r="A20" s="56" t="str">
        <x:v>1F-14</x:v>
      </x:c>
      <x:c r="B20" s="56" t="str">
        <x:v>1F</x:v>
      </x:c>
      <x:c r="C20" s="80" t="str">
        <x:v>休</x:v>
      </x:c>
      <x:c r="D20" s="80" t="str">
        <x:v>遅</x:v>
      </x:c>
      <x:c r="E20" s="80" t="str">
        <x:v>休</x:v>
      </x:c>
      <x:c r="F20" s="80" t="str">
        <x:v>早</x:v>
      </x:c>
      <x:c r="G20" s="80" t="str">
        <x:v>夜</x:v>
      </x:c>
      <x:c r="H20" s="80" t="str">
        <x:v>明</x:v>
      </x:c>
      <x:c r="I20" s="80" t="str">
        <x:v>遅</x:v>
      </x:c>
      <x:c r="J20" s="80" t="str">
        <x:v>遅</x:v>
      </x:c>
      <x:c r="K20" s="80" t="str">
        <x:v>休</x:v>
      </x:c>
      <x:c r="L20" s="72" t="n">
        <x:f>COUNTIFS(D20:J20,"早")*'勤務区分'!$G$6+COUNTIFS(D20:J20,"遅")*'勤務区分'!$G$7+COUNTIFS(D20:J20,"日")*'勤務区分'!$G$8+COUNTIFS(D20:J20,"午")*'勤務区分'!$G$9+COUNTIFS(D20:J20,"後")*'勤務区分'!$G$10+COUNTIFS(D20:J20,"短A")*'勤務区分'!$G$11+COUNTIFS(D20:J20,"短B")*'勤務区分'!$G$12+(COUNTIFS(D20:J20,"夜")+COUNTIFS(D20:J20,"統"))*'勤務区分'!$G$13</x:f>
        <x:v>45.99999999999999</x:v>
      </x:c>
      <x:c r="M20" s="72" t="n">
        <x:f>'職員マスター'!O19</x:f>
        <x:v>40</x:v>
      </x:c>
      <x:c r="N20" s="72" t="n">
        <x:f>MAX(0,L20-M20)</x:f>
        <x:v>5.999999999999993</x:v>
      </x:c>
      <x:c r="O20" s="56" t="n">
        <x:f>IF('職員マスター'!F19="不可",COUNTIFS(D20:J20,"夜")+COUNTIFS(D20:J20,"統"),0)</x:f>
        <x:v>0</x:v>
      </x:c>
      <x:c r="P20" s="56" t="n">
        <x:f>IF(OR(D20="休",D20="有",D20="明"),0,IF(D20="統",IF('職員マスター'!M19="可",0,1),IF(ISNUMBER(SEARCH("・"&amp;D20&amp;"・","・"&amp;'職員マスター'!N19&amp;"・")),0,1)))+IF(OR(E20="休",E20="有",E20="明"),0,IF(E20="統",IF('職員マスター'!M19="可",0,1),IF(ISNUMBER(SEARCH("・"&amp;E20&amp;"・","・"&amp;'職員マスター'!N19&amp;"・")),0,1)))+IF(OR(F20="休",F20="有",F20="明"),0,IF(F20="統",IF('職員マスター'!M19="可",0,1),IF(ISNUMBER(SEARCH("・"&amp;F20&amp;"・","・"&amp;'職員マスター'!N19&amp;"・")),0,1)))+IF(OR(G20="休",G20="有",G20="明"),0,IF(G20="統",IF('職員マスター'!M19="可",0,1),IF(ISNUMBER(SEARCH("・"&amp;G20&amp;"・","・"&amp;'職員マスター'!N19&amp;"・")),0,1)))+IF(OR(H20="休",H20="有",H20="明"),0,IF(H20="統",IF('職員マスター'!M19="可",0,1),IF(ISNUMBER(SEARCH("・"&amp;H20&amp;"・","・"&amp;'職員マスター'!N19&amp;"・")),0,1)))+IF(OR(I20="休",I20="有",I20="明"),0,IF(I20="統",IF('職員マスター'!M19="可",0,1),IF(ISNUMBER(SEARCH("・"&amp;I20&amp;"・","・"&amp;'職員マスター'!N19&amp;"・")),0,1)))+IF(OR(J20="休",J20="有",J20="明"),0,IF(J20="統",IF('職員マスター'!M19="可",0,1),IF(ISNUMBER(SEARCH("・"&amp;J20&amp;"・","・"&amp;'職員マスター'!N19&amp;"・")),0,1)))</x:f>
        <x:v>0</x:v>
      </x:c>
      <x:c r="Q20" s="56" t="n">
        <x:f>IF(OR(C20="夜",C20="統"),IF(D20="明",0,1),IF(D20="明",1,0))+IF(OR(D20="夜",D20="統"),IF(E20="明",0,1),IF(E20="明",1,0))+IF(OR(E20="夜",E20="統"),IF(F20="明",0,1),IF(F20="明",1,0))+IF(OR(F20="夜",F20="統"),IF(G20="明",0,1),IF(G20="明",1,0))+IF(OR(G20="夜",G20="統"),IF(H20="明",0,1),IF(H20="明",1,0))+IF(OR(H20="夜",H20="統"),IF(I20="明",0,1),IF(I20="明",1,0))+IF(OR(I20="夜",I20="統"),IF(J20="明",0,1),IF(J20="明",1,0))</x:f>
        <x:v>0</x:v>
      </x:c>
    </x:row>
    <x:row r="21" ht="26" customHeight="1">
      <x:c r="A21" s="56" t="str">
        <x:v>1F-15</x:v>
      </x:c>
      <x:c r="B21" s="56" t="str">
        <x:v>1F</x:v>
      </x:c>
      <x:c r="C21" s="80" t="str">
        <x:v>休</x:v>
      </x:c>
      <x:c r="D21" s="80" t="str">
        <x:v>休</x:v>
      </x:c>
      <x:c r="E21" s="80" t="str">
        <x:v>早</x:v>
      </x:c>
      <x:c r="F21" s="80" t="str">
        <x:v>早</x:v>
      </x:c>
      <x:c r="G21" s="80" t="str">
        <x:v>夜</x:v>
      </x:c>
      <x:c r="H21" s="80" t="str">
        <x:v>休</x:v>
      </x:c>
      <x:c r="I21" s="80" t="str">
        <x:v>休</x:v>
      </x:c>
      <x:c r="J21" s="80" t="str">
        <x:v>休</x:v>
      </x:c>
      <x:c r="K21" s="80" t="str">
        <x:v>休</x:v>
      </x:c>
      <x:c r="L21" s="72" t="n">
        <x:f>COUNTIFS(D21:J21,"早")*'勤務区分'!$G$6+COUNTIFS(D21:J21,"遅")*'勤務区分'!$G$7+COUNTIFS(D21:J21,"日")*'勤務区分'!$G$8+COUNTIFS(D21:J21,"午")*'勤務区分'!$G$9+COUNTIFS(D21:J21,"後")*'勤務区分'!$G$10+COUNTIFS(D21:J21,"短A")*'勤務区分'!$G$11+COUNTIFS(D21:J21,"短B")*'勤務区分'!$G$12+(COUNTIFS(D21:J21,"夜")+COUNTIFS(D21:J21,"統"))*'勤務区分'!$G$13</x:f>
        <x:v>29.999999999999996</x:v>
      </x:c>
      <x:c r="M21" s="72" t="n">
        <x:f>'職員マスター'!O20</x:f>
        <x:v>40</x:v>
      </x:c>
      <x:c r="N21" s="72" t="n">
        <x:f>MAX(0,L21-M21)</x:f>
        <x:v>0</x:v>
      </x:c>
      <x:c r="O21" s="56" t="n">
        <x:f>IF('職員マスター'!F20="不可",COUNTIFS(D21:J21,"夜")+COUNTIFS(D21:J21,"統"),0)</x:f>
        <x:v>1</x:v>
      </x:c>
      <x:c r="P21" s="56" t="n">
        <x:f>IF(OR(D21="休",D21="有",D21="明"),0,IF(D21="統",IF('職員マスター'!M20="可",0,1),IF(ISNUMBER(SEARCH("・"&amp;D21&amp;"・","・"&amp;'職員マスター'!N20&amp;"・")),0,1)))+IF(OR(E21="休",E21="有",E21="明"),0,IF(E21="統",IF('職員マスター'!M20="可",0,1),IF(ISNUMBER(SEARCH("・"&amp;E21&amp;"・","・"&amp;'職員マスター'!N20&amp;"・")),0,1)))+IF(OR(F21="休",F21="有",F21="明"),0,IF(F21="統",IF('職員マスター'!M20="可",0,1),IF(ISNUMBER(SEARCH("・"&amp;F21&amp;"・","・"&amp;'職員マスター'!N20&amp;"・")),0,1)))+IF(OR(G21="休",G21="有",G21="明"),0,IF(G21="統",IF('職員マスター'!M20="可",0,1),IF(ISNUMBER(SEARCH("・"&amp;G21&amp;"・","・"&amp;'職員マスター'!N20&amp;"・")),0,1)))+IF(OR(H21="休",H21="有",H21="明"),0,IF(H21="統",IF('職員マスター'!M20="可",0,1),IF(ISNUMBER(SEARCH("・"&amp;H21&amp;"・","・"&amp;'職員マスター'!N20&amp;"・")),0,1)))+IF(OR(I21="休",I21="有",I21="明"),0,IF(I21="統",IF('職員マスター'!M20="可",0,1),IF(ISNUMBER(SEARCH("・"&amp;I21&amp;"・","・"&amp;'職員マスター'!N20&amp;"・")),0,1)))+IF(OR(J21="休",J21="有",J21="明"),0,IF(J21="統",IF('職員マスター'!M20="可",0,1),IF(ISNUMBER(SEARCH("・"&amp;J21&amp;"・","・"&amp;'職員マスター'!N20&amp;"・")),0,1)))</x:f>
        <x:v>1</x:v>
      </x:c>
      <x:c r="Q21" s="56" t="n">
        <x:f>IF(OR(C21="夜",C21="統"),IF(D21="明",0,1),IF(D21="明",1,0))+IF(OR(D21="夜",D21="統"),IF(E21="明",0,1),IF(E21="明",1,0))+IF(OR(E21="夜",E21="統"),IF(F21="明",0,1),IF(F21="明",1,0))+IF(OR(F21="夜",F21="統"),IF(G21="明",0,1),IF(G21="明",1,0))+IF(OR(G21="夜",G21="統"),IF(H21="明",0,1),IF(H21="明",1,0))+IF(OR(H21="夜",H21="統"),IF(I21="明",0,1),IF(I21="明",1,0))+IF(OR(I21="夜",I21="統"),IF(J21="明",0,1),IF(J21="明",1,0))</x:f>
        <x:v>1</x:v>
      </x:c>
    </x:row>
    <x:row r="22" ht="26" customHeight="1">
      <x:c r="A22" s="56" t="str">
        <x:v>1F-16</x:v>
      </x:c>
      <x:c r="B22" s="56" t="str">
        <x:v>1F</x:v>
      </x:c>
      <x:c r="C22" s="80" t="str">
        <x:v>休</x:v>
      </x:c>
      <x:c r="D22" s="80" t="str">
        <x:v>休</x:v>
      </x:c>
      <x:c r="E22" s="80" t="str">
        <x:v>早</x:v>
      </x:c>
      <x:c r="F22" s="80" t="str">
        <x:v>遅</x:v>
      </x:c>
      <x:c r="G22" s="80" t="str">
        <x:v>遅</x:v>
      </x:c>
      <x:c r="H22" s="80" t="str">
        <x:v>休</x:v>
      </x:c>
      <x:c r="I22" s="80" t="str">
        <x:v>休</x:v>
      </x:c>
      <x:c r="J22" s="80" t="str">
        <x:v>休</x:v>
      </x:c>
      <x:c r="K22" s="80" t="str">
        <x:v>休</x:v>
      </x:c>
      <x:c r="L22" s="72" t="n">
        <x:f>COUNTIFS(D22:J22,"早")*'勤務区分'!$G$6+COUNTIFS(D22:J22,"遅")*'勤務区分'!$G$7+COUNTIFS(D22:J22,"日")*'勤務区分'!$G$8+COUNTIFS(D22:J22,"午")*'勤務区分'!$G$9+COUNTIFS(D22:J22,"後")*'勤務区分'!$G$10+COUNTIFS(D22:J22,"短A")*'勤務区分'!$G$11+COUNTIFS(D22:J22,"短B")*'勤務区分'!$G$12+(COUNTIFS(D22:J22,"夜")+COUNTIFS(D22:J22,"統"))*'勤務区分'!$G$13</x:f>
        <x:v>23.999999999999993</x:v>
      </x:c>
      <x:c r="M22" s="72" t="n">
        <x:f>'職員マスター'!O21</x:f>
        <x:v>40</x:v>
      </x:c>
      <x:c r="N22" s="72" t="n">
        <x:f>MAX(0,L22-M22)</x:f>
        <x:v>0</x:v>
      </x:c>
      <x:c r="O22" s="56" t="n">
        <x:f>IF('職員マスター'!F21="不可",COUNTIFS(D22:J22,"夜")+COUNTIFS(D22:J22,"統"),0)</x:f>
        <x:v>0</x:v>
      </x:c>
      <x:c r="P22" s="56" t="n">
        <x:f>IF(OR(D22="休",D22="有",D22="明"),0,IF(D22="統",IF('職員マスター'!M21="可",0,1),IF(ISNUMBER(SEARCH("・"&amp;D22&amp;"・","・"&amp;'職員マスター'!N21&amp;"・")),0,1)))+IF(OR(E22="休",E22="有",E22="明"),0,IF(E22="統",IF('職員マスター'!M21="可",0,1),IF(ISNUMBER(SEARCH("・"&amp;E22&amp;"・","・"&amp;'職員マスター'!N21&amp;"・")),0,1)))+IF(OR(F22="休",F22="有",F22="明"),0,IF(F22="統",IF('職員マスター'!M21="可",0,1),IF(ISNUMBER(SEARCH("・"&amp;F22&amp;"・","・"&amp;'職員マスター'!N21&amp;"・")),0,1)))+IF(OR(G22="休",G22="有",G22="明"),0,IF(G22="統",IF('職員マスター'!M21="可",0,1),IF(ISNUMBER(SEARCH("・"&amp;G22&amp;"・","・"&amp;'職員マスター'!N21&amp;"・")),0,1)))+IF(OR(H22="休",H22="有",H22="明"),0,IF(H22="統",IF('職員マスター'!M21="可",0,1),IF(ISNUMBER(SEARCH("・"&amp;H22&amp;"・","・"&amp;'職員マスター'!N21&amp;"・")),0,1)))+IF(OR(I22="休",I22="有",I22="明"),0,IF(I22="統",IF('職員マスター'!M21="可",0,1),IF(ISNUMBER(SEARCH("・"&amp;I22&amp;"・","・"&amp;'職員マスター'!N21&amp;"・")),0,1)))+IF(OR(J22="休",J22="有",J22="明"),0,IF(J22="統",IF('職員マスター'!M21="可",0,1),IF(ISNUMBER(SEARCH("・"&amp;J22&amp;"・","・"&amp;'職員マスター'!N21&amp;"・")),0,1)))</x:f>
        <x:v>0</x:v>
      </x:c>
      <x:c r="Q22" s="56" t="n">
        <x:f>IF(OR(C22="夜",C22="統"),IF(D22="明",0,1),IF(D22="明",1,0))+IF(OR(D22="夜",D22="統"),IF(E22="明",0,1),IF(E22="明",1,0))+IF(OR(E22="夜",E22="統"),IF(F22="明",0,1),IF(F22="明",1,0))+IF(OR(F22="夜",F22="統"),IF(G22="明",0,1),IF(G22="明",1,0))+IF(OR(G22="夜",G22="統"),IF(H22="明",0,1),IF(H22="明",1,0))+IF(OR(H22="夜",H22="統"),IF(I22="明",0,1),IF(I22="明",1,0))+IF(OR(I22="夜",I22="統"),IF(J22="明",0,1),IF(J22="明",1,0))</x:f>
        <x:v>0</x:v>
      </x:c>
    </x:row>
    <x:row r="23" ht="26" customHeight="1">
      <x:c r="A23" s="56" t="str">
        <x:v>1F-17</x:v>
      </x:c>
      <x:c r="B23" s="56" t="str">
        <x:v>1F</x:v>
      </x:c>
      <x:c r="C23" s="80" t="str">
        <x:v>休</x:v>
      </x:c>
      <x:c r="D23" s="80" t="str">
        <x:v>午</x:v>
      </x:c>
      <x:c r="E23" s="80" t="str">
        <x:v>休</x:v>
      </x:c>
      <x:c r="F23" s="80" t="str">
        <x:v>休</x:v>
      </x:c>
      <x:c r="G23" s="80" t="str">
        <x:v>午</x:v>
      </x:c>
      <x:c r="H23" s="80" t="str">
        <x:v>休</x:v>
      </x:c>
      <x:c r="I23" s="80" t="str">
        <x:v>休</x:v>
      </x:c>
      <x:c r="J23" s="80" t="str">
        <x:v>午</x:v>
      </x:c>
      <x:c r="K23" s="80" t="str">
        <x:v>休</x:v>
      </x:c>
      <x:c r="L23" s="72" t="n">
        <x:f>COUNTIFS(D23:J23,"早")*'勤務区分'!$G$6+COUNTIFS(D23:J23,"遅")*'勤務区分'!$G$7+COUNTIFS(D23:J23,"日")*'勤務区分'!$G$8+COUNTIFS(D23:J23,"午")*'勤務区分'!$G$9+COUNTIFS(D23:J23,"後")*'勤務区分'!$G$10+COUNTIFS(D23:J23,"短A")*'勤務区分'!$G$11+COUNTIFS(D23:J23,"短B")*'勤務区分'!$G$12+(COUNTIFS(D23:J23,"夜")+COUNTIFS(D23:J23,"統"))*'勤務区分'!$G$13</x:f>
        <x:v>11.999999999999996</x:v>
      </x:c>
      <x:c r="M23" s="72" t="n">
        <x:f>'職員マスター'!O22</x:f>
        <x:v>12</x:v>
      </x:c>
      <x:c r="N23" s="72" t="n">
        <x:f>MAX(0,L23-M23)</x:f>
        <x:v>0</x:v>
      </x:c>
      <x:c r="O23" s="56" t="n">
        <x:f>IF('職員マスター'!F22="不可",COUNTIFS(D23:J23,"夜")+COUNTIFS(D23:J23,"統"),0)</x:f>
        <x:v>0</x:v>
      </x:c>
      <x:c r="P23" s="56" t="n">
        <x:f>IF(OR(D23="休",D23="有",D23="明"),0,IF(D23="統",IF('職員マスター'!M22="可",0,1),IF(ISNUMBER(SEARCH("・"&amp;D23&amp;"・","・"&amp;'職員マスター'!N22&amp;"・")),0,1)))+IF(OR(E23="休",E23="有",E23="明"),0,IF(E23="統",IF('職員マスター'!M22="可",0,1),IF(ISNUMBER(SEARCH("・"&amp;E23&amp;"・","・"&amp;'職員マスター'!N22&amp;"・")),0,1)))+IF(OR(F23="休",F23="有",F23="明"),0,IF(F23="統",IF('職員マスター'!M22="可",0,1),IF(ISNUMBER(SEARCH("・"&amp;F23&amp;"・","・"&amp;'職員マスター'!N22&amp;"・")),0,1)))+IF(OR(G23="休",G23="有",G23="明"),0,IF(G23="統",IF('職員マスター'!M22="可",0,1),IF(ISNUMBER(SEARCH("・"&amp;G23&amp;"・","・"&amp;'職員マスター'!N22&amp;"・")),0,1)))+IF(OR(H23="休",H23="有",H23="明"),0,IF(H23="統",IF('職員マスター'!M22="可",0,1),IF(ISNUMBER(SEARCH("・"&amp;H23&amp;"・","・"&amp;'職員マスター'!N22&amp;"・")),0,1)))+IF(OR(I23="休",I23="有",I23="明"),0,IF(I23="統",IF('職員マスター'!M22="可",0,1),IF(ISNUMBER(SEARCH("・"&amp;I23&amp;"・","・"&amp;'職員マスター'!N22&amp;"・")),0,1)))+IF(OR(J23="休",J23="有",J23="明"),0,IF(J23="統",IF('職員マスター'!M22="可",0,1),IF(ISNUMBER(SEARCH("・"&amp;J23&amp;"・","・"&amp;'職員マスター'!N22&amp;"・")),0,1)))</x:f>
        <x:v>0</x:v>
      </x:c>
      <x:c r="Q23" s="56" t="n">
        <x:f>IF(OR(C23="夜",C23="統"),IF(D23="明",0,1),IF(D23="明",1,0))+IF(OR(D23="夜",D23="統"),IF(E23="明",0,1),IF(E23="明",1,0))+IF(OR(E23="夜",E23="統"),IF(F23="明",0,1),IF(F23="明",1,0))+IF(OR(F23="夜",F23="統"),IF(G23="明",0,1),IF(G23="明",1,0))+IF(OR(G23="夜",G23="統"),IF(H23="明",0,1),IF(H23="明",1,0))+IF(OR(H23="夜",H23="統"),IF(I23="明",0,1),IF(I23="明",1,0))+IF(OR(I23="夜",I23="統"),IF(J23="明",0,1),IF(J23="明",1,0))</x:f>
        <x:v>0</x:v>
      </x:c>
    </x:row>
    <x:row r="24" ht="26" customHeight="1">
      <x:c r="A24" s="56" t="str">
        <x:v>1F-18</x:v>
      </x:c>
      <x:c r="B24" s="56" t="str">
        <x:v>1F</x:v>
      </x:c>
      <x:c r="C24" s="80" t="str">
        <x:v>休</x:v>
      </x:c>
      <x:c r="D24" s="80" t="str">
        <x:v>休</x:v>
      </x:c>
      <x:c r="E24" s="80" t="str">
        <x:v>休</x:v>
      </x:c>
      <x:c r="F24" s="80" t="str">
        <x:v>後</x:v>
      </x:c>
      <x:c r="G24" s="80" t="str">
        <x:v>休</x:v>
      </x:c>
      <x:c r="H24" s="80" t="str">
        <x:v>休</x:v>
      </x:c>
      <x:c r="I24" s="80" t="str">
        <x:v>後</x:v>
      </x:c>
      <x:c r="J24" s="80" t="str">
        <x:v>休</x:v>
      </x:c>
      <x:c r="K24" s="80" t="str">
        <x:v>休</x:v>
      </x:c>
      <x:c r="L24" s="72" t="n">
        <x:f>COUNTIFS(D24:J24,"早")*'勤務区分'!$G$6+COUNTIFS(D24:J24,"遅")*'勤務区分'!$G$7+COUNTIFS(D24:J24,"日")*'勤務区分'!$G$8+COUNTIFS(D24:J24,"午")*'勤務区分'!$G$9+COUNTIFS(D24:J24,"後")*'勤務区分'!$G$10+COUNTIFS(D24:J24,"短A")*'勤務区分'!$G$11+COUNTIFS(D24:J24,"短B")*'勤務区分'!$G$12+(COUNTIFS(D24:J24,"夜")+COUNTIFS(D24:J24,"統"))*'勤務区分'!$G$13</x:f>
        <x:v>7.999999999999998</x:v>
      </x:c>
      <x:c r="M24" s="72" t="n">
        <x:f>'職員マスター'!O23</x:f>
        <x:v>12</x:v>
      </x:c>
      <x:c r="N24" s="72" t="n">
        <x:f>MAX(0,L24-M24)</x:f>
        <x:v>0</x:v>
      </x:c>
      <x:c r="O24" s="56" t="n">
        <x:f>IF('職員マスター'!F23="不可",COUNTIFS(D24:J24,"夜")+COUNTIFS(D24:J24,"統"),0)</x:f>
        <x:v>0</x:v>
      </x:c>
      <x:c r="P24" s="56" t="n">
        <x:f>IF(OR(D24="休",D24="有",D24="明"),0,IF(D24="統",IF('職員マスター'!M23="可",0,1),IF(ISNUMBER(SEARCH("・"&amp;D24&amp;"・","・"&amp;'職員マスター'!N23&amp;"・")),0,1)))+IF(OR(E24="休",E24="有",E24="明"),0,IF(E24="統",IF('職員マスター'!M23="可",0,1),IF(ISNUMBER(SEARCH("・"&amp;E24&amp;"・","・"&amp;'職員マスター'!N23&amp;"・")),0,1)))+IF(OR(F24="休",F24="有",F24="明"),0,IF(F24="統",IF('職員マスター'!M23="可",0,1),IF(ISNUMBER(SEARCH("・"&amp;F24&amp;"・","・"&amp;'職員マスター'!N23&amp;"・")),0,1)))+IF(OR(G24="休",G24="有",G24="明"),0,IF(G24="統",IF('職員マスター'!M23="可",0,1),IF(ISNUMBER(SEARCH("・"&amp;G24&amp;"・","・"&amp;'職員マスター'!N23&amp;"・")),0,1)))+IF(OR(H24="休",H24="有",H24="明"),0,IF(H24="統",IF('職員マスター'!M23="可",0,1),IF(ISNUMBER(SEARCH("・"&amp;H24&amp;"・","・"&amp;'職員マスター'!N23&amp;"・")),0,1)))+IF(OR(I24="休",I24="有",I24="明"),0,IF(I24="統",IF('職員マスター'!M23="可",0,1),IF(ISNUMBER(SEARCH("・"&amp;I24&amp;"・","・"&amp;'職員マスター'!N23&amp;"・")),0,1)))+IF(OR(J24="休",J24="有",J24="明"),0,IF(J24="統",IF('職員マスター'!M23="可",0,1),IF(ISNUMBER(SEARCH("・"&amp;J24&amp;"・","・"&amp;'職員マスター'!N23&amp;"・")),0,1)))</x:f>
        <x:v>0</x:v>
      </x:c>
      <x:c r="Q24" s="56" t="n">
        <x:f>IF(OR(C24="夜",C24="統"),IF(D24="明",0,1),IF(D24="明",1,0))+IF(OR(D24="夜",D24="統"),IF(E24="明",0,1),IF(E24="明",1,0))+IF(OR(E24="夜",E24="統"),IF(F24="明",0,1),IF(F24="明",1,0))+IF(OR(F24="夜",F24="統"),IF(G24="明",0,1),IF(G24="明",1,0))+IF(OR(G24="夜",G24="統"),IF(H24="明",0,1),IF(H24="明",1,0))+IF(OR(H24="夜",H24="統"),IF(I24="明",0,1),IF(I24="明",1,0))+IF(OR(I24="夜",I24="統"),IF(J24="明",0,1),IF(J24="明",1,0))</x:f>
        <x:v>0</x:v>
      </x:c>
    </x:row>
    <x:row r="25" ht="26" customHeight="1">
      <x:c r="A25" s="56" t="str">
        <x:v>1F-19</x:v>
      </x:c>
      <x:c r="B25" s="56" t="str">
        <x:v>1F</x:v>
      </x:c>
      <x:c r="C25" s="80" t="str">
        <x:v>休</x:v>
      </x:c>
      <x:c r="D25" s="80" t="str">
        <x:v>休</x:v>
      </x:c>
      <x:c r="E25" s="80" t="str">
        <x:v>午</x:v>
      </x:c>
      <x:c r="F25" s="80" t="str">
        <x:v>休</x:v>
      </x:c>
      <x:c r="G25" s="80" t="str">
        <x:v>休</x:v>
      </x:c>
      <x:c r="H25" s="80" t="str">
        <x:v>午</x:v>
      </x:c>
      <x:c r="I25" s="80" t="str">
        <x:v>休</x:v>
      </x:c>
      <x:c r="J25" s="80" t="str">
        <x:v>休</x:v>
      </x:c>
      <x:c r="K25" s="80" t="str">
        <x:v>休</x:v>
      </x:c>
      <x:c r="L25" s="72" t="n">
        <x:f>COUNTIFS(D25:J25,"早")*'勤務区分'!$G$6+COUNTIFS(D25:J25,"遅")*'勤務区分'!$G$7+COUNTIFS(D25:J25,"日")*'勤務区分'!$G$8+COUNTIFS(D25:J25,"午")*'勤務区分'!$G$9+COUNTIFS(D25:J25,"後")*'勤務区分'!$G$10+COUNTIFS(D25:J25,"短A")*'勤務区分'!$G$11+COUNTIFS(D25:J25,"短B")*'勤務区分'!$G$12+(COUNTIFS(D25:J25,"夜")+COUNTIFS(D25:J25,"統"))*'勤務区分'!$G$13</x:f>
        <x:v>7.999999999999998</x:v>
      </x:c>
      <x:c r="M25" s="72" t="n">
        <x:f>'職員マスター'!O24</x:f>
        <x:v>12</x:v>
      </x:c>
      <x:c r="N25" s="72" t="n">
        <x:f>MAX(0,L25-M25)</x:f>
        <x:v>0</x:v>
      </x:c>
      <x:c r="O25" s="56" t="n">
        <x:f>IF('職員マスター'!F24="不可",COUNTIFS(D25:J25,"夜")+COUNTIFS(D25:J25,"統"),0)</x:f>
        <x:v>0</x:v>
      </x:c>
      <x:c r="P25" s="56" t="n">
        <x:f>IF(OR(D25="休",D25="有",D25="明"),0,IF(D25="統",IF('職員マスター'!M24="可",0,1),IF(ISNUMBER(SEARCH("・"&amp;D25&amp;"・","・"&amp;'職員マスター'!N24&amp;"・")),0,1)))+IF(OR(E25="休",E25="有",E25="明"),0,IF(E25="統",IF('職員マスター'!M24="可",0,1),IF(ISNUMBER(SEARCH("・"&amp;E25&amp;"・","・"&amp;'職員マスター'!N24&amp;"・")),0,1)))+IF(OR(F25="休",F25="有",F25="明"),0,IF(F25="統",IF('職員マスター'!M24="可",0,1),IF(ISNUMBER(SEARCH("・"&amp;F25&amp;"・","・"&amp;'職員マスター'!N24&amp;"・")),0,1)))+IF(OR(G25="休",G25="有",G25="明"),0,IF(G25="統",IF('職員マスター'!M24="可",0,1),IF(ISNUMBER(SEARCH("・"&amp;G25&amp;"・","・"&amp;'職員マスター'!N24&amp;"・")),0,1)))+IF(OR(H25="休",H25="有",H25="明"),0,IF(H25="統",IF('職員マスター'!M24="可",0,1),IF(ISNUMBER(SEARCH("・"&amp;H25&amp;"・","・"&amp;'職員マスター'!N24&amp;"・")),0,1)))+IF(OR(I25="休",I25="有",I25="明"),0,IF(I25="統",IF('職員マスター'!M24="可",0,1),IF(ISNUMBER(SEARCH("・"&amp;I25&amp;"・","・"&amp;'職員マスター'!N24&amp;"・")),0,1)))+IF(OR(J25="休",J25="有",J25="明"),0,IF(J25="統",IF('職員マスター'!M24="可",0,1),IF(ISNUMBER(SEARCH("・"&amp;J25&amp;"・","・"&amp;'職員マスター'!N24&amp;"・")),0,1)))</x:f>
        <x:v>0</x:v>
      </x:c>
      <x:c r="Q25" s="56" t="n">
        <x:f>IF(OR(C25="夜",C25="統"),IF(D25="明",0,1),IF(D25="明",1,0))+IF(OR(D25="夜",D25="統"),IF(E25="明",0,1),IF(E25="明",1,0))+IF(OR(E25="夜",E25="統"),IF(F25="明",0,1),IF(F25="明",1,0))+IF(OR(F25="夜",F25="統"),IF(G25="明",0,1),IF(G25="明",1,0))+IF(OR(G25="夜",G25="統"),IF(H25="明",0,1),IF(H25="明",1,0))+IF(OR(H25="夜",H25="統"),IF(I25="明",0,1),IF(I25="明",1,0))+IF(OR(I25="夜",I25="統"),IF(J25="明",0,1),IF(J25="明",1,0))</x:f>
        <x:v>0</x:v>
      </x:c>
    </x:row>
    <x:row r="26" ht="26" customHeight="1">
      <x:c r="A26" s="56" t="str">
        <x:v>1F-20</x:v>
      </x:c>
      <x:c r="B26" s="56" t="str">
        <x:v>1F</x:v>
      </x:c>
      <x:c r="C26" s="80" t="str">
        <x:v>休</x:v>
      </x:c>
      <x:c r="D26" s="80" t="str">
        <x:v>後</x:v>
      </x:c>
      <x:c r="E26" s="80" t="str">
        <x:v>休</x:v>
      </x:c>
      <x:c r="F26" s="80" t="str">
        <x:v>休</x:v>
      </x:c>
      <x:c r="G26" s="80" t="str">
        <x:v>後</x:v>
      </x:c>
      <x:c r="H26" s="80" t="str">
        <x:v>休</x:v>
      </x:c>
      <x:c r="I26" s="80" t="str">
        <x:v>休</x:v>
      </x:c>
      <x:c r="J26" s="80" t="str">
        <x:v>後</x:v>
      </x:c>
      <x:c r="K26" s="80" t="str">
        <x:v>休</x:v>
      </x:c>
      <x:c r="L26" s="72" t="n">
        <x:f>COUNTIFS(D26:J26,"早")*'勤務区分'!$G$6+COUNTIFS(D26:J26,"遅")*'勤務区分'!$G$7+COUNTIFS(D26:J26,"日")*'勤務区分'!$G$8+COUNTIFS(D26:J26,"午")*'勤務区分'!$G$9+COUNTIFS(D26:J26,"後")*'勤務区分'!$G$10+COUNTIFS(D26:J26,"短A")*'勤務区分'!$G$11+COUNTIFS(D26:J26,"短B")*'勤務区分'!$G$12+(COUNTIFS(D26:J26,"夜")+COUNTIFS(D26:J26,"統"))*'勤務区分'!$G$13</x:f>
        <x:v>11.999999999999996</x:v>
      </x:c>
      <x:c r="M26" s="72" t="n">
        <x:f>'職員マスター'!O25</x:f>
        <x:v>12</x:v>
      </x:c>
      <x:c r="N26" s="72" t="n">
        <x:f>MAX(0,L26-M26)</x:f>
        <x:v>0</x:v>
      </x:c>
      <x:c r="O26" s="56" t="n">
        <x:f>IF('職員マスター'!F25="不可",COUNTIFS(D26:J26,"夜")+COUNTIFS(D26:J26,"統"),0)</x:f>
        <x:v>0</x:v>
      </x:c>
      <x:c r="P26" s="56" t="n">
        <x:f>IF(OR(D26="休",D26="有",D26="明"),0,IF(D26="統",IF('職員マスター'!M25="可",0,1),IF(ISNUMBER(SEARCH("・"&amp;D26&amp;"・","・"&amp;'職員マスター'!N25&amp;"・")),0,1)))+IF(OR(E26="休",E26="有",E26="明"),0,IF(E26="統",IF('職員マスター'!M25="可",0,1),IF(ISNUMBER(SEARCH("・"&amp;E26&amp;"・","・"&amp;'職員マスター'!N25&amp;"・")),0,1)))+IF(OR(F26="休",F26="有",F26="明"),0,IF(F26="統",IF('職員マスター'!M25="可",0,1),IF(ISNUMBER(SEARCH("・"&amp;F26&amp;"・","・"&amp;'職員マスター'!N25&amp;"・")),0,1)))+IF(OR(G26="休",G26="有",G26="明"),0,IF(G26="統",IF('職員マスター'!M25="可",0,1),IF(ISNUMBER(SEARCH("・"&amp;G26&amp;"・","・"&amp;'職員マスター'!N25&amp;"・")),0,1)))+IF(OR(H26="休",H26="有",H26="明"),0,IF(H26="統",IF('職員マスター'!M25="可",0,1),IF(ISNUMBER(SEARCH("・"&amp;H26&amp;"・","・"&amp;'職員マスター'!N25&amp;"・")),0,1)))+IF(OR(I26="休",I26="有",I26="明"),0,IF(I26="統",IF('職員マスター'!M25="可",0,1),IF(ISNUMBER(SEARCH("・"&amp;I26&amp;"・","・"&amp;'職員マスター'!N25&amp;"・")),0,1)))+IF(OR(J26="休",J26="有",J26="明"),0,IF(J26="統",IF('職員マスター'!M25="可",0,1),IF(ISNUMBER(SEARCH("・"&amp;J26&amp;"・","・"&amp;'職員マスター'!N25&amp;"・")),0,1)))</x:f>
        <x:v>0</x:v>
      </x:c>
      <x:c r="Q26" s="56" t="n">
        <x:f>IF(OR(C26="夜",C26="統"),IF(D26="明",0,1),IF(D26="明",1,0))+IF(OR(D26="夜",D26="統"),IF(E26="明",0,1),IF(E26="明",1,0))+IF(OR(E26="夜",E26="統"),IF(F26="明",0,1),IF(F26="明",1,0))+IF(OR(F26="夜",F26="統"),IF(G26="明",0,1),IF(G26="明",1,0))+IF(OR(G26="夜",G26="統"),IF(H26="明",0,1),IF(H26="明",1,0))+IF(OR(H26="夜",H26="統"),IF(I26="明",0,1),IF(I26="明",1,0))+IF(OR(I26="夜",I26="統"),IF(J26="明",0,1),IF(J26="明",1,0))</x:f>
        <x:v>0</x:v>
      </x:c>
    </x:row>
    <x:row r="27" ht="26" customHeight="1">
      <x:c r="A27" s="56" t="str">
        <x:v>1F-21</x:v>
      </x:c>
      <x:c r="B27" s="56" t="str">
        <x:v>1F</x:v>
      </x:c>
      <x:c r="C27" s="80" t="str">
        <x:v>休</x:v>
      </x:c>
      <x:c r="D27" s="80" t="str">
        <x:v>休</x:v>
      </x:c>
      <x:c r="E27" s="80" t="str">
        <x:v>休</x:v>
      </x:c>
      <x:c r="F27" s="80" t="str">
        <x:v>午</x:v>
      </x:c>
      <x:c r="G27" s="80" t="str">
        <x:v>休</x:v>
      </x:c>
      <x:c r="H27" s="80" t="str">
        <x:v>休</x:v>
      </x:c>
      <x:c r="I27" s="80" t="str">
        <x:v>午</x:v>
      </x:c>
      <x:c r="J27" s="80" t="str">
        <x:v>休</x:v>
      </x:c>
      <x:c r="K27" s="80" t="str">
        <x:v>休</x:v>
      </x:c>
      <x:c r="L27" s="72" t="n">
        <x:f>COUNTIFS(D27:J27,"早")*'勤務区分'!$G$6+COUNTIFS(D27:J27,"遅")*'勤務区分'!$G$7+COUNTIFS(D27:J27,"日")*'勤務区分'!$G$8+COUNTIFS(D27:J27,"午")*'勤務区分'!$G$9+COUNTIFS(D27:J27,"後")*'勤務区分'!$G$10+COUNTIFS(D27:J27,"短A")*'勤務区分'!$G$11+COUNTIFS(D27:J27,"短B")*'勤務区分'!$G$12+(COUNTIFS(D27:J27,"夜")+COUNTIFS(D27:J27,"統"))*'勤務区分'!$G$13</x:f>
        <x:v>7.999999999999998</x:v>
      </x:c>
      <x:c r="M27" s="72" t="n">
        <x:f>'職員マスター'!O26</x:f>
        <x:v>12</x:v>
      </x:c>
      <x:c r="N27" s="72" t="n">
        <x:f>MAX(0,L27-M27)</x:f>
        <x:v>0</x:v>
      </x:c>
      <x:c r="O27" s="56" t="n">
        <x:f>IF('職員マスター'!F26="不可",COUNTIFS(D27:J27,"夜")+COUNTIFS(D27:J27,"統"),0)</x:f>
        <x:v>0</x:v>
      </x:c>
      <x:c r="P27" s="56" t="n">
        <x:f>IF(OR(D27="休",D27="有",D27="明"),0,IF(D27="統",IF('職員マスター'!M26="可",0,1),IF(ISNUMBER(SEARCH("・"&amp;D27&amp;"・","・"&amp;'職員マスター'!N26&amp;"・")),0,1)))+IF(OR(E27="休",E27="有",E27="明"),0,IF(E27="統",IF('職員マスター'!M26="可",0,1),IF(ISNUMBER(SEARCH("・"&amp;E27&amp;"・","・"&amp;'職員マスター'!N26&amp;"・")),0,1)))+IF(OR(F27="休",F27="有",F27="明"),0,IF(F27="統",IF('職員マスター'!M26="可",0,1),IF(ISNUMBER(SEARCH("・"&amp;F27&amp;"・","・"&amp;'職員マスター'!N26&amp;"・")),0,1)))+IF(OR(G27="休",G27="有",G27="明"),0,IF(G27="統",IF('職員マスター'!M26="可",0,1),IF(ISNUMBER(SEARCH("・"&amp;G27&amp;"・","・"&amp;'職員マスター'!N26&amp;"・")),0,1)))+IF(OR(H27="休",H27="有",H27="明"),0,IF(H27="統",IF('職員マスター'!M26="可",0,1),IF(ISNUMBER(SEARCH("・"&amp;H27&amp;"・","・"&amp;'職員マスター'!N26&amp;"・")),0,1)))+IF(OR(I27="休",I27="有",I27="明"),0,IF(I27="統",IF('職員マスター'!M26="可",0,1),IF(ISNUMBER(SEARCH("・"&amp;I27&amp;"・","・"&amp;'職員マスター'!N26&amp;"・")),0,1)))+IF(OR(J27="休",J27="有",J27="明"),0,IF(J27="統",IF('職員マスター'!M26="可",0,1),IF(ISNUMBER(SEARCH("・"&amp;J27&amp;"・","・"&amp;'職員マスター'!N26&amp;"・")),0,1)))</x:f>
        <x:v>0</x:v>
      </x:c>
      <x:c r="Q27" s="56" t="n">
        <x:f>IF(OR(C27="夜",C27="統"),IF(D27="明",0,1),IF(D27="明",1,0))+IF(OR(D27="夜",D27="統"),IF(E27="明",0,1),IF(E27="明",1,0))+IF(OR(E27="夜",E27="統"),IF(F27="明",0,1),IF(F27="明",1,0))+IF(OR(F27="夜",F27="統"),IF(G27="明",0,1),IF(G27="明",1,0))+IF(OR(G27="夜",G27="統"),IF(H27="明",0,1),IF(H27="明",1,0))+IF(OR(H27="夜",H27="統"),IF(I27="明",0,1),IF(I27="明",1,0))+IF(OR(I27="夜",I27="統"),IF(J27="明",0,1),IF(J27="明",1,0))</x:f>
        <x:v>0</x:v>
      </x:c>
    </x:row>
    <x:row r="28" ht="26" customHeight="1">
      <x:c r="A28" s="56" t="str">
        <x:v>1F-22</x:v>
      </x:c>
      <x:c r="B28" s="56" t="str">
        <x:v>1F</x:v>
      </x:c>
      <x:c r="C28" s="80" t="str">
        <x:v>休</x:v>
      </x:c>
      <x:c r="D28" s="80" t="str">
        <x:v>休</x:v>
      </x:c>
      <x:c r="E28" s="80" t="str">
        <x:v>後</x:v>
      </x:c>
      <x:c r="F28" s="80" t="str">
        <x:v>休</x:v>
      </x:c>
      <x:c r="G28" s="80" t="str">
        <x:v>休</x:v>
      </x:c>
      <x:c r="H28" s="80" t="str">
        <x:v>後</x:v>
      </x:c>
      <x:c r="I28" s="80" t="str">
        <x:v>休</x:v>
      </x:c>
      <x:c r="J28" s="80" t="str">
        <x:v>休</x:v>
      </x:c>
      <x:c r="K28" s="80" t="str">
        <x:v>休</x:v>
      </x:c>
      <x:c r="L28" s="72" t="n">
        <x:f>COUNTIFS(D28:J28,"早")*'勤務区分'!$G$6+COUNTIFS(D28:J28,"遅")*'勤務区分'!$G$7+COUNTIFS(D28:J28,"日")*'勤務区分'!$G$8+COUNTIFS(D28:J28,"午")*'勤務区分'!$G$9+COUNTIFS(D28:J28,"後")*'勤務区分'!$G$10+COUNTIFS(D28:J28,"短A")*'勤務区分'!$G$11+COUNTIFS(D28:J28,"短B")*'勤務区分'!$G$12+(COUNTIFS(D28:J28,"夜")+COUNTIFS(D28:J28,"統"))*'勤務区分'!$G$13</x:f>
        <x:v>7.999999999999998</x:v>
      </x:c>
      <x:c r="M28" s="72" t="n">
        <x:f>'職員マスター'!O27</x:f>
        <x:v>12</x:v>
      </x:c>
      <x:c r="N28" s="72" t="n">
        <x:f>MAX(0,L28-M28)</x:f>
        <x:v>0</x:v>
      </x:c>
      <x:c r="O28" s="56" t="n">
        <x:f>IF('職員マスター'!F27="不可",COUNTIFS(D28:J28,"夜")+COUNTIFS(D28:J28,"統"),0)</x:f>
        <x:v>0</x:v>
      </x:c>
      <x:c r="P28" s="56" t="n">
        <x:f>IF(OR(D28="休",D28="有",D28="明"),0,IF(D28="統",IF('職員マスター'!M27="可",0,1),IF(ISNUMBER(SEARCH("・"&amp;D28&amp;"・","・"&amp;'職員マスター'!N27&amp;"・")),0,1)))+IF(OR(E28="休",E28="有",E28="明"),0,IF(E28="統",IF('職員マスター'!M27="可",0,1),IF(ISNUMBER(SEARCH("・"&amp;E28&amp;"・","・"&amp;'職員マスター'!N27&amp;"・")),0,1)))+IF(OR(F28="休",F28="有",F28="明"),0,IF(F28="統",IF('職員マスター'!M27="可",0,1),IF(ISNUMBER(SEARCH("・"&amp;F28&amp;"・","・"&amp;'職員マスター'!N27&amp;"・")),0,1)))+IF(OR(G28="休",G28="有",G28="明"),0,IF(G28="統",IF('職員マスター'!M27="可",0,1),IF(ISNUMBER(SEARCH("・"&amp;G28&amp;"・","・"&amp;'職員マスター'!N27&amp;"・")),0,1)))+IF(OR(H28="休",H28="有",H28="明"),0,IF(H28="統",IF('職員マスター'!M27="可",0,1),IF(ISNUMBER(SEARCH("・"&amp;H28&amp;"・","・"&amp;'職員マスター'!N27&amp;"・")),0,1)))+IF(OR(I28="休",I28="有",I28="明"),0,IF(I28="統",IF('職員マスター'!M27="可",0,1),IF(ISNUMBER(SEARCH("・"&amp;I28&amp;"・","・"&amp;'職員マスター'!N27&amp;"・")),0,1)))+IF(OR(J28="休",J28="有",J28="明"),0,IF(J28="統",IF('職員マスター'!M27="可",0,1),IF(ISNUMBER(SEARCH("・"&amp;J28&amp;"・","・"&amp;'職員マスター'!N27&amp;"・")),0,1)))</x:f>
        <x:v>0</x:v>
      </x:c>
      <x:c r="Q28" s="56" t="n">
        <x:f>IF(OR(C28="夜",C28="統"),IF(D28="明",0,1),IF(D28="明",1,0))+IF(OR(D28="夜",D28="統"),IF(E28="明",0,1),IF(E28="明",1,0))+IF(OR(E28="夜",E28="統"),IF(F28="明",0,1),IF(F28="明",1,0))+IF(OR(F28="夜",F28="統"),IF(G28="明",0,1),IF(G28="明",1,0))+IF(OR(G28="夜",G28="統"),IF(H28="明",0,1),IF(H28="明",1,0))+IF(OR(H28="夜",H28="統"),IF(I28="明",0,1),IF(I28="明",1,0))+IF(OR(I28="夜",I28="統"),IF(J28="明",0,1),IF(J28="明",1,0))</x:f>
        <x:v>0</x:v>
      </x:c>
    </x:row>
    <x:row r="29" ht="26" customHeight="1">
      <x:c r="A29" s="56" t="str">
        <x:v>1F-23</x:v>
      </x:c>
      <x:c r="B29" s="56" t="str">
        <x:v>1F</x:v>
      </x:c>
      <x:c r="C29" s="80" t="str">
        <x:v>短A</x:v>
      </x:c>
      <x:c r="D29" s="80" t="str">
        <x:v>休</x:v>
      </x:c>
      <x:c r="E29" s="80" t="str">
        <x:v>休</x:v>
      </x:c>
      <x:c r="F29" s="80" t="str">
        <x:v>短A</x:v>
      </x:c>
      <x:c r="G29" s="80" t="str">
        <x:v>休</x:v>
      </x:c>
      <x:c r="H29" s="80" t="str">
        <x:v>休</x:v>
      </x:c>
      <x:c r="I29" s="80" t="str">
        <x:v>短A</x:v>
      </x:c>
      <x:c r="J29" s="80" t="str">
        <x:v>休</x:v>
      </x:c>
      <x:c r="K29" s="80" t="str">
        <x:v>休</x:v>
      </x:c>
      <x:c r="L29" s="72" t="n">
        <x:f>COUNTIFS(D29:J29,"早")*'勤務区分'!$G$6+COUNTIFS(D29:J29,"遅")*'勤務区分'!$G$7+COUNTIFS(D29:J29,"日")*'勤務区分'!$G$8+COUNTIFS(D29:J29,"午")*'勤務区分'!$G$9+COUNTIFS(D29:J29,"後")*'勤務区分'!$G$10+COUNTIFS(D29:J29,"短A")*'勤務区分'!$G$11+COUNTIFS(D29:J29,"短B")*'勤務区分'!$G$12+(COUNTIFS(D29:J29,"夜")+COUNTIFS(D29:J29,"統"))*'勤務区分'!$G$13</x:f>
        <x:v>6.000000000000005</x:v>
      </x:c>
      <x:c r="M29" s="72" t="n">
        <x:f>'職員マスター'!O28</x:f>
        <x:v>9</x:v>
      </x:c>
      <x:c r="N29" s="72" t="n">
        <x:f>MAX(0,L29-M29)</x:f>
        <x:v>0</x:v>
      </x:c>
      <x:c r="O29" s="56" t="n">
        <x:f>IF('職員マスター'!F28="不可",COUNTIFS(D29:J29,"夜")+COUNTIFS(D29:J29,"統"),0)</x:f>
        <x:v>0</x:v>
      </x:c>
      <x:c r="P29" s="56" t="n">
        <x:f>IF(OR(D29="休",D29="有",D29="明"),0,IF(D29="統",IF('職員マスター'!M28="可",0,1),IF(ISNUMBER(SEARCH("・"&amp;D29&amp;"・","・"&amp;'職員マスター'!N28&amp;"・")),0,1)))+IF(OR(E29="休",E29="有",E29="明"),0,IF(E29="統",IF('職員マスター'!M28="可",0,1),IF(ISNUMBER(SEARCH("・"&amp;E29&amp;"・","・"&amp;'職員マスター'!N28&amp;"・")),0,1)))+IF(OR(F29="休",F29="有",F29="明"),0,IF(F29="統",IF('職員マスター'!M28="可",0,1),IF(ISNUMBER(SEARCH("・"&amp;F29&amp;"・","・"&amp;'職員マスター'!N28&amp;"・")),0,1)))+IF(OR(G29="休",G29="有",G29="明"),0,IF(G29="統",IF('職員マスター'!M28="可",0,1),IF(ISNUMBER(SEARCH("・"&amp;G29&amp;"・","・"&amp;'職員マスター'!N28&amp;"・")),0,1)))+IF(OR(H29="休",H29="有",H29="明"),0,IF(H29="統",IF('職員マスター'!M28="可",0,1),IF(ISNUMBER(SEARCH("・"&amp;H29&amp;"・","・"&amp;'職員マスター'!N28&amp;"・")),0,1)))+IF(OR(I29="休",I29="有",I29="明"),0,IF(I29="統",IF('職員マスター'!M28="可",0,1),IF(ISNUMBER(SEARCH("・"&amp;I29&amp;"・","・"&amp;'職員マスター'!N28&amp;"・")),0,1)))+IF(OR(J29="休",J29="有",J29="明"),0,IF(J29="統",IF('職員マスター'!M28="可",0,1),IF(ISNUMBER(SEARCH("・"&amp;J29&amp;"・","・"&amp;'職員マスター'!N28&amp;"・")),0,1)))</x:f>
        <x:v>0</x:v>
      </x:c>
      <x:c r="Q29" s="56" t="n">
        <x:f>IF(OR(C29="夜",C29="統"),IF(D29="明",0,1),IF(D29="明",1,0))+IF(OR(D29="夜",D29="統"),IF(E29="明",0,1),IF(E29="明",1,0))+IF(OR(E29="夜",E29="統"),IF(F29="明",0,1),IF(F29="明",1,0))+IF(OR(F29="夜",F29="統"),IF(G29="明",0,1),IF(G29="明",1,0))+IF(OR(G29="夜",G29="統"),IF(H29="明",0,1),IF(H29="明",1,0))+IF(OR(H29="夜",H29="統"),IF(I29="明",0,1),IF(I29="明",1,0))+IF(OR(I29="夜",I29="統"),IF(J29="明",0,1),IF(J29="明",1,0))</x:f>
        <x:v>0</x:v>
      </x:c>
    </x:row>
    <x:row r="30" ht="26" customHeight="1">
      <x:c r="A30" s="56" t="str">
        <x:v>1F-24</x:v>
      </x:c>
      <x:c r="B30" s="56" t="str">
        <x:v>1F</x:v>
      </x:c>
      <x:c r="C30" s="80" t="str">
        <x:v>休</x:v>
      </x:c>
      <x:c r="D30" s="80" t="str">
        <x:v>休</x:v>
      </x:c>
      <x:c r="E30" s="80" t="str">
        <x:v>短B</x:v>
      </x:c>
      <x:c r="F30" s="80" t="str">
        <x:v>休</x:v>
      </x:c>
      <x:c r="G30" s="80" t="str">
        <x:v>休</x:v>
      </x:c>
      <x:c r="H30" s="80" t="str">
        <x:v>短B</x:v>
      </x:c>
      <x:c r="I30" s="80" t="str">
        <x:v>休</x:v>
      </x:c>
      <x:c r="J30" s="80" t="str">
        <x:v>休</x:v>
      </x:c>
      <x:c r="K30" s="80" t="str">
        <x:v>短B</x:v>
      </x:c>
      <x:c r="L30" s="72" t="n">
        <x:f>COUNTIFS(D30:J30,"早")*'勤務区分'!$G$6+COUNTIFS(D30:J30,"遅")*'勤務区分'!$G$7+COUNTIFS(D30:J30,"日")*'勤務区分'!$G$8+COUNTIFS(D30:J30,"午")*'勤務区分'!$G$9+COUNTIFS(D30:J30,"後")*'勤務区分'!$G$10+COUNTIFS(D30:J30,"短A")*'勤務区分'!$G$11+COUNTIFS(D30:J30,"短B")*'勤務区分'!$G$12+(COUNTIFS(D30:J30,"夜")+COUNTIFS(D30:J30,"統"))*'勤務区分'!$G$13</x:f>
        <x:v>6</x:v>
      </x:c>
      <x:c r="M30" s="72" t="n">
        <x:f>'職員マスター'!O29</x:f>
        <x:v>9</x:v>
      </x:c>
      <x:c r="N30" s="72" t="n">
        <x:f>MAX(0,L30-M30)</x:f>
        <x:v>0</x:v>
      </x:c>
      <x:c r="O30" s="56" t="n">
        <x:f>IF('職員マスター'!F29="不可",COUNTIFS(D30:J30,"夜")+COUNTIFS(D30:J30,"統"),0)</x:f>
        <x:v>0</x:v>
      </x:c>
      <x:c r="P30" s="56" t="n">
        <x:f>IF(OR(D30="休",D30="有",D30="明"),0,IF(D30="統",IF('職員マスター'!M29="可",0,1),IF(ISNUMBER(SEARCH("・"&amp;D30&amp;"・","・"&amp;'職員マスター'!N29&amp;"・")),0,1)))+IF(OR(E30="休",E30="有",E30="明"),0,IF(E30="統",IF('職員マスター'!M29="可",0,1),IF(ISNUMBER(SEARCH("・"&amp;E30&amp;"・","・"&amp;'職員マスター'!N29&amp;"・")),0,1)))+IF(OR(F30="休",F30="有",F30="明"),0,IF(F30="統",IF('職員マスター'!M29="可",0,1),IF(ISNUMBER(SEARCH("・"&amp;F30&amp;"・","・"&amp;'職員マスター'!N29&amp;"・")),0,1)))+IF(OR(G30="休",G30="有",G30="明"),0,IF(G30="統",IF('職員マスター'!M29="可",0,1),IF(ISNUMBER(SEARCH("・"&amp;G30&amp;"・","・"&amp;'職員マスター'!N29&amp;"・")),0,1)))+IF(OR(H30="休",H30="有",H30="明"),0,IF(H30="統",IF('職員マスター'!M29="可",0,1),IF(ISNUMBER(SEARCH("・"&amp;H30&amp;"・","・"&amp;'職員マスター'!N29&amp;"・")),0,1)))+IF(OR(I30="休",I30="有",I30="明"),0,IF(I30="統",IF('職員マスター'!M29="可",0,1),IF(ISNUMBER(SEARCH("・"&amp;I30&amp;"・","・"&amp;'職員マスター'!N29&amp;"・")),0,1)))+IF(OR(J30="休",J30="有",J30="明"),0,IF(J30="統",IF('職員マスター'!M29="可",0,1),IF(ISNUMBER(SEARCH("・"&amp;J30&amp;"・","・"&amp;'職員マスター'!N29&amp;"・")),0,1)))</x:f>
        <x:v>0</x:v>
      </x:c>
      <x:c r="Q30" s="56" t="n">
        <x:f>IF(OR(C30="夜",C30="統"),IF(D30="明",0,1),IF(D30="明",1,0))+IF(OR(D30="夜",D30="統"),IF(E30="明",0,1),IF(E30="明",1,0))+IF(OR(E30="夜",E30="統"),IF(F30="明",0,1),IF(F30="明",1,0))+IF(OR(F30="夜",F30="統"),IF(G30="明",0,1),IF(G30="明",1,0))+IF(OR(G30="夜",G30="統"),IF(H30="明",0,1),IF(H30="明",1,0))+IF(OR(H30="夜",H30="統"),IF(I30="明",0,1),IF(I30="明",1,0))+IF(OR(I30="夜",I30="統"),IF(J30="明",0,1),IF(J30="明",1,0))</x:f>
        <x:v>0</x:v>
      </x:c>
    </x:row>
    <x:row r="31" ht="26" customHeight="1">
      <x:c r="A31" s="56" t="str">
        <x:v>2F-01</x:v>
      </x:c>
      <x:c r="B31" s="56" t="str">
        <x:v>2F</x:v>
      </x:c>
      <x:c r="C31" s="80" t="str">
        <x:v>夜</x:v>
      </x:c>
      <x:c r="D31" s="80" t="str">
        <x:v>明</x:v>
      </x:c>
      <x:c r="E31" s="80" t="str">
        <x:v>早</x:v>
      </x:c>
      <x:c r="F31" s="80" t="str">
        <x:v>遅</x:v>
      </x:c>
      <x:c r="G31" s="80" t="str">
        <x:v>遅</x:v>
      </x:c>
      <x:c r="H31" s="80" t="str">
        <x:v>統</x:v>
      </x:c>
      <x:c r="I31" s="80" t="str">
        <x:v>明</x:v>
      </x:c>
      <x:c r="J31" s="80" t="str">
        <x:v>早</x:v>
      </x:c>
      <x:c r="K31" s="80" t="str">
        <x:v>休</x:v>
      </x:c>
      <x:c r="L31" s="72" t="n">
        <x:f>COUNTIFS(D31:J31,"早")*'勤務区分'!$G$6+COUNTIFS(D31:J31,"遅")*'勤務区分'!$G$7+COUNTIFS(D31:J31,"日")*'勤務区分'!$G$8+COUNTIFS(D31:J31,"午")*'勤務区分'!$G$9+COUNTIFS(D31:J31,"後")*'勤務区分'!$G$10+COUNTIFS(D31:J31,"短A")*'勤務区分'!$G$11+COUNTIFS(D31:J31,"短B")*'勤務区分'!$G$12+(COUNTIFS(D31:J31,"夜")+COUNTIFS(D31:J31,"統"))*'勤務区分'!$G$13</x:f>
        <x:v>45.99999999999999</x:v>
      </x:c>
      <x:c r="M31" s="72" t="n">
        <x:f>'職員マスター'!O30</x:f>
        <x:v>40</x:v>
      </x:c>
      <x:c r="N31" s="72" t="n">
        <x:f>MAX(0,L31-M31)</x:f>
        <x:v>5.999999999999993</x:v>
      </x:c>
      <x:c r="O31" s="56" t="n">
        <x:f>IF('職員マスター'!F30="不可",COUNTIFS(D31:J31,"夜")+COUNTIFS(D31:J31,"統"),0)</x:f>
        <x:v>0</x:v>
      </x:c>
      <x:c r="P31" s="56" t="n">
        <x:f>IF(OR(D31="休",D31="有",D31="明"),0,IF(D31="統",IF('職員マスター'!M30="可",0,1),IF(ISNUMBER(SEARCH("・"&amp;D31&amp;"・","・"&amp;'職員マスター'!N30&amp;"・")),0,1)))+IF(OR(E31="休",E31="有",E31="明"),0,IF(E31="統",IF('職員マスター'!M30="可",0,1),IF(ISNUMBER(SEARCH("・"&amp;E31&amp;"・","・"&amp;'職員マスター'!N30&amp;"・")),0,1)))+IF(OR(F31="休",F31="有",F31="明"),0,IF(F31="統",IF('職員マスター'!M30="可",0,1),IF(ISNUMBER(SEARCH("・"&amp;F31&amp;"・","・"&amp;'職員マスター'!N30&amp;"・")),0,1)))+IF(OR(G31="休",G31="有",G31="明"),0,IF(G31="統",IF('職員マスター'!M30="可",0,1),IF(ISNUMBER(SEARCH("・"&amp;G31&amp;"・","・"&amp;'職員マスター'!N30&amp;"・")),0,1)))+IF(OR(H31="休",H31="有",H31="明"),0,IF(H31="統",IF('職員マスター'!M30="可",0,1),IF(ISNUMBER(SEARCH("・"&amp;H31&amp;"・","・"&amp;'職員マスター'!N30&amp;"・")),0,1)))+IF(OR(I31="休",I31="有",I31="明"),0,IF(I31="統",IF('職員マスター'!M30="可",0,1),IF(ISNUMBER(SEARCH("・"&amp;I31&amp;"・","・"&amp;'職員マスター'!N30&amp;"・")),0,1)))+IF(OR(J31="休",J31="有",J31="明"),0,IF(J31="統",IF('職員マスター'!M30="可",0,1),IF(ISNUMBER(SEARCH("・"&amp;J31&amp;"・","・"&amp;'職員マスター'!N30&amp;"・")),0,1)))</x:f>
        <x:v>0</x:v>
      </x:c>
      <x:c r="Q31" s="56" t="n">
        <x:f>IF(OR(C31="夜",C31="統"),IF(D31="明",0,1),IF(D31="明",1,0))+IF(OR(D31="夜",D31="統"),IF(E31="明",0,1),IF(E31="明",1,0))+IF(OR(E31="夜",E31="統"),IF(F31="明",0,1),IF(F31="明",1,0))+IF(OR(F31="夜",F31="統"),IF(G31="明",0,1),IF(G31="明",1,0))+IF(OR(G31="夜",G31="統"),IF(H31="明",0,1),IF(H31="明",1,0))+IF(OR(H31="夜",H31="統"),IF(I31="明",0,1),IF(I31="明",1,0))+IF(OR(I31="夜",I31="統"),IF(J31="明",0,1),IF(J31="明",1,0))</x:f>
        <x:v>0</x:v>
      </x:c>
    </x:row>
    <x:row r="32" ht="26" customHeight="1">
      <x:c r="A32" s="56" t="str">
        <x:v>2F-02</x:v>
      </x:c>
      <x:c r="B32" s="56" t="str">
        <x:v>2F</x:v>
      </x:c>
      <x:c r="C32" s="80" t="str">
        <x:v>夜</x:v>
      </x:c>
      <x:c r="D32" s="80" t="str">
        <x:v>明</x:v>
      </x:c>
      <x:c r="E32" s="80" t="str">
        <x:v>早</x:v>
      </x:c>
      <x:c r="F32" s="80" t="str">
        <x:v>遅</x:v>
      </x:c>
      <x:c r="G32" s="80" t="str">
        <x:v>日</x:v>
      </x:c>
      <x:c r="H32" s="80" t="str">
        <x:v>統</x:v>
      </x:c>
      <x:c r="I32" s="80" t="str">
        <x:v>明</x:v>
      </x:c>
      <x:c r="J32" s="80" t="str">
        <x:v>早</x:v>
      </x:c>
      <x:c r="K32" s="80" t="str">
        <x:v>休</x:v>
      </x:c>
      <x:c r="L32" s="72" t="n">
        <x:f>COUNTIFS(D32:J32,"早")*'勤務区分'!$G$6+COUNTIFS(D32:J32,"遅")*'勤務区分'!$G$7+COUNTIFS(D32:J32,"日")*'勤務区分'!$G$8+COUNTIFS(D32:J32,"午")*'勤務区分'!$G$9+COUNTIFS(D32:J32,"後")*'勤務区分'!$G$10+COUNTIFS(D32:J32,"短A")*'勤務区分'!$G$11+COUNTIFS(D32:J32,"短B")*'勤務区分'!$G$12+(COUNTIFS(D32:J32,"夜")+COUNTIFS(D32:J32,"統"))*'勤務区分'!$G$13</x:f>
        <x:v>45.99999999999999</x:v>
      </x:c>
      <x:c r="M32" s="72" t="n">
        <x:f>'職員マスター'!O31</x:f>
        <x:v>40</x:v>
      </x:c>
      <x:c r="N32" s="72" t="n">
        <x:f>MAX(0,L32-M32)</x:f>
        <x:v>5.999999999999993</x:v>
      </x:c>
      <x:c r="O32" s="56" t="n">
        <x:f>IF('職員マスター'!F31="不可",COUNTIFS(D32:J32,"夜")+COUNTIFS(D32:J32,"統"),0)</x:f>
        <x:v>0</x:v>
      </x:c>
      <x:c r="P32" s="56" t="n">
        <x:f>IF(OR(D32="休",D32="有",D32="明"),0,IF(D32="統",IF('職員マスター'!M31="可",0,1),IF(ISNUMBER(SEARCH("・"&amp;D32&amp;"・","・"&amp;'職員マスター'!N31&amp;"・")),0,1)))+IF(OR(E32="休",E32="有",E32="明"),0,IF(E32="統",IF('職員マスター'!M31="可",0,1),IF(ISNUMBER(SEARCH("・"&amp;E32&amp;"・","・"&amp;'職員マスター'!N31&amp;"・")),0,1)))+IF(OR(F32="休",F32="有",F32="明"),0,IF(F32="統",IF('職員マスター'!M31="可",0,1),IF(ISNUMBER(SEARCH("・"&amp;F32&amp;"・","・"&amp;'職員マスター'!N31&amp;"・")),0,1)))+IF(OR(G32="休",G32="有",G32="明"),0,IF(G32="統",IF('職員マスター'!M31="可",0,1),IF(ISNUMBER(SEARCH("・"&amp;G32&amp;"・","・"&amp;'職員マスター'!N31&amp;"・")),0,1)))+IF(OR(H32="休",H32="有",H32="明"),0,IF(H32="統",IF('職員マスター'!M31="可",0,1),IF(ISNUMBER(SEARCH("・"&amp;H32&amp;"・","・"&amp;'職員マスター'!N31&amp;"・")),0,1)))+IF(OR(I32="休",I32="有",I32="明"),0,IF(I32="統",IF('職員マスター'!M31="可",0,1),IF(ISNUMBER(SEARCH("・"&amp;I32&amp;"・","・"&amp;'職員マスター'!N31&amp;"・")),0,1)))+IF(OR(J32="休",J32="有",J32="明"),0,IF(J32="統",IF('職員マスター'!M31="可",0,1),IF(ISNUMBER(SEARCH("・"&amp;J32&amp;"・","・"&amp;'職員マスター'!N31&amp;"・")),0,1)))</x:f>
        <x:v>0</x:v>
      </x:c>
      <x:c r="Q32" s="56" t="n">
        <x:f>IF(OR(C32="夜",C32="統"),IF(D32="明",0,1),IF(D32="明",1,0))+IF(OR(D32="夜",D32="統"),IF(E32="明",0,1),IF(E32="明",1,0))+IF(OR(E32="夜",E32="統"),IF(F32="明",0,1),IF(F32="明",1,0))+IF(OR(F32="夜",F32="統"),IF(G32="明",0,1),IF(G32="明",1,0))+IF(OR(G32="夜",G32="統"),IF(H32="明",0,1),IF(H32="明",1,0))+IF(OR(H32="夜",H32="統"),IF(I32="明",0,1),IF(I32="明",1,0))+IF(OR(I32="夜",I32="統"),IF(J32="明",0,1),IF(J32="明",1,0))</x:f>
        <x:v>0</x:v>
      </x:c>
    </x:row>
    <x:row r="33" ht="26" customHeight="1">
      <x:c r="A33" s="56" t="str">
        <x:v>2F-03</x:v>
      </x:c>
      <x:c r="B33" s="56" t="str">
        <x:v>2F</x:v>
      </x:c>
      <x:c r="C33" s="80" t="str">
        <x:v>休</x:v>
      </x:c>
      <x:c r="D33" s="80" t="str">
        <x:v>夜</x:v>
      </x:c>
      <x:c r="E33" s="80" t="str">
        <x:v>明</x:v>
      </x:c>
      <x:c r="F33" s="80" t="str">
        <x:v>早</x:v>
      </x:c>
      <x:c r="G33" s="80" t="str">
        <x:v>早</x:v>
      </x:c>
      <x:c r="H33" s="80" t="str">
        <x:v>早</x:v>
      </x:c>
      <x:c r="I33" s="80" t="str">
        <x:v>統</x:v>
      </x:c>
      <x:c r="J33" s="80" t="str">
        <x:v>明</x:v>
      </x:c>
      <x:c r="K33" s="80" t="str">
        <x:v>休</x:v>
      </x:c>
      <x:c r="L33" s="72" t="n">
        <x:f>COUNTIFS(D33:J33,"早")*'勤務区分'!$G$6+COUNTIFS(D33:J33,"遅")*'勤務区分'!$G$7+COUNTIFS(D33:J33,"日")*'勤務区分'!$G$8+COUNTIFS(D33:J33,"午")*'勤務区分'!$G$9+COUNTIFS(D33:J33,"後")*'勤務区分'!$G$10+COUNTIFS(D33:J33,"短A")*'勤務区分'!$G$11+COUNTIFS(D33:J33,"短B")*'勤務区分'!$G$12+(COUNTIFS(D33:J33,"夜")+COUNTIFS(D33:J33,"統"))*'勤務区分'!$G$13</x:f>
        <x:v>51.99999999999999</x:v>
      </x:c>
      <x:c r="M33" s="72" t="n">
        <x:f>'職員マスター'!O32</x:f>
        <x:v>40</x:v>
      </x:c>
      <x:c r="N33" s="72" t="n">
        <x:f>MAX(0,L33-M33)</x:f>
        <x:v>11.999999999999993</x:v>
      </x:c>
      <x:c r="O33" s="56" t="n">
        <x:f>IF('職員マスター'!F32="不可",COUNTIFS(D33:J33,"夜")+COUNTIFS(D33:J33,"統"),0)</x:f>
        <x:v>0</x:v>
      </x:c>
      <x:c r="P33" s="56" t="n">
        <x:f>IF(OR(D33="休",D33="有",D33="明"),0,IF(D33="統",IF('職員マスター'!M32="可",0,1),IF(ISNUMBER(SEARCH("・"&amp;D33&amp;"・","・"&amp;'職員マスター'!N32&amp;"・")),0,1)))+IF(OR(E33="休",E33="有",E33="明"),0,IF(E33="統",IF('職員マスター'!M32="可",0,1),IF(ISNUMBER(SEARCH("・"&amp;E33&amp;"・","・"&amp;'職員マスター'!N32&amp;"・")),0,1)))+IF(OR(F33="休",F33="有",F33="明"),0,IF(F33="統",IF('職員マスター'!M32="可",0,1),IF(ISNUMBER(SEARCH("・"&amp;F33&amp;"・","・"&amp;'職員マスター'!N32&amp;"・")),0,1)))+IF(OR(G33="休",G33="有",G33="明"),0,IF(G33="統",IF('職員マスター'!M32="可",0,1),IF(ISNUMBER(SEARCH("・"&amp;G33&amp;"・","・"&amp;'職員マスター'!N32&amp;"・")),0,1)))+IF(OR(H33="休",H33="有",H33="明"),0,IF(H33="統",IF('職員マスター'!M32="可",0,1),IF(ISNUMBER(SEARCH("・"&amp;H33&amp;"・","・"&amp;'職員マスター'!N32&amp;"・")),0,1)))+IF(OR(I33="休",I33="有",I33="明"),0,IF(I33="統",IF('職員マスター'!M32="可",0,1),IF(ISNUMBER(SEARCH("・"&amp;I33&amp;"・","・"&amp;'職員マスター'!N32&amp;"・")),0,1)))+IF(OR(J33="休",J33="有",J33="明"),0,IF(J33="統",IF('職員マスター'!M32="可",0,1),IF(ISNUMBER(SEARCH("・"&amp;J33&amp;"・","・"&amp;'職員マスター'!N32&amp;"・")),0,1)))</x:f>
        <x:v>0</x:v>
      </x:c>
      <x:c r="Q33" s="56" t="n">
        <x:f>IF(OR(C33="夜",C33="統"),IF(D33="明",0,1),IF(D33="明",1,0))+IF(OR(D33="夜",D33="統"),IF(E33="明",0,1),IF(E33="明",1,0))+IF(OR(E33="夜",E33="統"),IF(F33="明",0,1),IF(F33="明",1,0))+IF(OR(F33="夜",F33="統"),IF(G33="明",0,1),IF(G33="明",1,0))+IF(OR(G33="夜",G33="統"),IF(H33="明",0,1),IF(H33="明",1,0))+IF(OR(H33="夜",H33="統"),IF(I33="明",0,1),IF(I33="明",1,0))+IF(OR(I33="夜",I33="統"),IF(J33="明",0,1),IF(J33="明",1,0))</x:f>
        <x:v>0</x:v>
      </x:c>
    </x:row>
    <x:row r="34" ht="26" customHeight="1">
      <x:c r="A34" s="56" t="str">
        <x:v>2F-04</x:v>
      </x:c>
      <x:c r="B34" s="56" t="str">
        <x:v>2F</x:v>
      </x:c>
      <x:c r="C34" s="80" t="str">
        <x:v>休</x:v>
      </x:c>
      <x:c r="D34" s="80" t="str">
        <x:v>夜</x:v>
      </x:c>
      <x:c r="E34" s="80" t="str">
        <x:v>明</x:v>
      </x:c>
      <x:c r="F34" s="80" t="str">
        <x:v>早</x:v>
      </x:c>
      <x:c r="G34" s="80" t="str">
        <x:v>早</x:v>
      </x:c>
      <x:c r="H34" s="80" t="str">
        <x:v>早</x:v>
      </x:c>
      <x:c r="I34" s="80" t="str">
        <x:v>統</x:v>
      </x:c>
      <x:c r="J34" s="80" t="str">
        <x:v>明</x:v>
      </x:c>
      <x:c r="K34" s="80" t="str">
        <x:v>休</x:v>
      </x:c>
      <x:c r="L34" s="72" t="n">
        <x:f>COUNTIFS(D34:J34,"早")*'勤務区分'!$G$6+COUNTIFS(D34:J34,"遅")*'勤務区分'!$G$7+COUNTIFS(D34:J34,"日")*'勤務区分'!$G$8+COUNTIFS(D34:J34,"午")*'勤務区分'!$G$9+COUNTIFS(D34:J34,"後")*'勤務区分'!$G$10+COUNTIFS(D34:J34,"短A")*'勤務区分'!$G$11+COUNTIFS(D34:J34,"短B")*'勤務区分'!$G$12+(COUNTIFS(D34:J34,"夜")+COUNTIFS(D34:J34,"統"))*'勤務区分'!$G$13</x:f>
        <x:v>51.99999999999999</x:v>
      </x:c>
      <x:c r="M34" s="72" t="n">
        <x:f>'職員マスター'!O33</x:f>
        <x:v>40</x:v>
      </x:c>
      <x:c r="N34" s="72" t="n">
        <x:f>MAX(0,L34-M34)</x:f>
        <x:v>11.999999999999993</x:v>
      </x:c>
      <x:c r="O34" s="56" t="n">
        <x:f>IF('職員マスター'!F33="不可",COUNTIFS(D34:J34,"夜")+COUNTIFS(D34:J34,"統"),0)</x:f>
        <x:v>0</x:v>
      </x:c>
      <x:c r="P34" s="56" t="n">
        <x:f>IF(OR(D34="休",D34="有",D34="明"),0,IF(D34="統",IF('職員マスター'!M33="可",0,1),IF(ISNUMBER(SEARCH("・"&amp;D34&amp;"・","・"&amp;'職員マスター'!N33&amp;"・")),0,1)))+IF(OR(E34="休",E34="有",E34="明"),0,IF(E34="統",IF('職員マスター'!M33="可",0,1),IF(ISNUMBER(SEARCH("・"&amp;E34&amp;"・","・"&amp;'職員マスター'!N33&amp;"・")),0,1)))+IF(OR(F34="休",F34="有",F34="明"),0,IF(F34="統",IF('職員マスター'!M33="可",0,1),IF(ISNUMBER(SEARCH("・"&amp;F34&amp;"・","・"&amp;'職員マスター'!N33&amp;"・")),0,1)))+IF(OR(G34="休",G34="有",G34="明"),0,IF(G34="統",IF('職員マスター'!M33="可",0,1),IF(ISNUMBER(SEARCH("・"&amp;G34&amp;"・","・"&amp;'職員マスター'!N33&amp;"・")),0,1)))+IF(OR(H34="休",H34="有",H34="明"),0,IF(H34="統",IF('職員マスター'!M33="可",0,1),IF(ISNUMBER(SEARCH("・"&amp;H34&amp;"・","・"&amp;'職員マスター'!N33&amp;"・")),0,1)))+IF(OR(I34="休",I34="有",I34="明"),0,IF(I34="統",IF('職員マスター'!M33="可",0,1),IF(ISNUMBER(SEARCH("・"&amp;I34&amp;"・","・"&amp;'職員マスター'!N33&amp;"・")),0,1)))+IF(OR(J34="休",J34="有",J34="明"),0,IF(J34="統",IF('職員マスター'!M33="可",0,1),IF(ISNUMBER(SEARCH("・"&amp;J34&amp;"・","・"&amp;'職員マスター'!N33&amp;"・")),0,1)))</x:f>
        <x:v>0</x:v>
      </x:c>
      <x:c r="Q34" s="56" t="n">
        <x:f>IF(OR(C34="夜",C34="統"),IF(D34="明",0,1),IF(D34="明",1,0))+IF(OR(D34="夜",D34="統"),IF(E34="明",0,1),IF(E34="明",1,0))+IF(OR(E34="夜",E34="統"),IF(F34="明",0,1),IF(F34="明",1,0))+IF(OR(F34="夜",F34="統"),IF(G34="明",0,1),IF(G34="明",1,0))+IF(OR(G34="夜",G34="統"),IF(H34="明",0,1),IF(H34="明",1,0))+IF(OR(H34="夜",H34="統"),IF(I34="明",0,1),IF(I34="明",1,0))+IF(OR(I34="夜",I34="統"),IF(J34="明",0,1),IF(J34="明",1,0))</x:f>
        <x:v>0</x:v>
      </x:c>
    </x:row>
    <x:row r="35" ht="26" customHeight="1">
      <x:c r="A35" s="56" t="str">
        <x:v>2F-05</x:v>
      </x:c>
      <x:c r="B35" s="56" t="str">
        <x:v>2F</x:v>
      </x:c>
      <x:c r="C35" s="80" t="str">
        <x:v>休</x:v>
      </x:c>
      <x:c r="D35" s="80" t="str">
        <x:v>統</x:v>
      </x:c>
      <x:c r="E35" s="80" t="str">
        <x:v>明</x:v>
      </x:c>
      <x:c r="F35" s="80" t="str">
        <x:v>早</x:v>
      </x:c>
      <x:c r="G35" s="80" t="str">
        <x:v>早</x:v>
      </x:c>
      <x:c r="H35" s="80" t="str">
        <x:v>早</x:v>
      </x:c>
      <x:c r="I35" s="80" t="str">
        <x:v>遅</x:v>
      </x:c>
      <x:c r="J35" s="80" t="str">
        <x:v>夜</x:v>
      </x:c>
      <x:c r="K35" s="80" t="str">
        <x:v>明</x:v>
      </x:c>
      <x:c r="L35" s="72" t="n">
        <x:f>COUNTIFS(D35:J35,"早")*'勤務区分'!$G$6+COUNTIFS(D35:J35,"遅")*'勤務区分'!$G$7+COUNTIFS(D35:J35,"日")*'勤務区分'!$G$8+COUNTIFS(D35:J35,"午")*'勤務区分'!$G$9+COUNTIFS(D35:J35,"後")*'勤務区分'!$G$10+COUNTIFS(D35:J35,"短A")*'勤務区分'!$G$11+COUNTIFS(D35:J35,"短B")*'勤務区分'!$G$12+(COUNTIFS(D35:J35,"夜")+COUNTIFS(D35:J35,"統"))*'勤務区分'!$G$13</x:f>
        <x:v>59.99999999999999</x:v>
      </x:c>
      <x:c r="M35" s="72" t="n">
        <x:f>'職員マスター'!O34</x:f>
        <x:v>40</x:v>
      </x:c>
      <x:c r="N35" s="72" t="n">
        <x:f>MAX(0,L35-M35)</x:f>
        <x:v>19.999999999999993</x:v>
      </x:c>
      <x:c r="O35" s="56" t="n">
        <x:f>IF('職員マスター'!F34="不可",COUNTIFS(D35:J35,"夜")+COUNTIFS(D35:J35,"統"),0)</x:f>
        <x:v>0</x:v>
      </x:c>
      <x:c r="P35" s="56" t="n">
        <x:f>IF(OR(D35="休",D35="有",D35="明"),0,IF(D35="統",IF('職員マスター'!M34="可",0,1),IF(ISNUMBER(SEARCH("・"&amp;D35&amp;"・","・"&amp;'職員マスター'!N34&amp;"・")),0,1)))+IF(OR(E35="休",E35="有",E35="明"),0,IF(E35="統",IF('職員マスター'!M34="可",0,1),IF(ISNUMBER(SEARCH("・"&amp;E35&amp;"・","・"&amp;'職員マスター'!N34&amp;"・")),0,1)))+IF(OR(F35="休",F35="有",F35="明"),0,IF(F35="統",IF('職員マスター'!M34="可",0,1),IF(ISNUMBER(SEARCH("・"&amp;F35&amp;"・","・"&amp;'職員マスター'!N34&amp;"・")),0,1)))+IF(OR(G35="休",G35="有",G35="明"),0,IF(G35="統",IF('職員マスター'!M34="可",0,1),IF(ISNUMBER(SEARCH("・"&amp;G35&amp;"・","・"&amp;'職員マスター'!N34&amp;"・")),0,1)))+IF(OR(H35="休",H35="有",H35="明"),0,IF(H35="統",IF('職員マスター'!M34="可",0,1),IF(ISNUMBER(SEARCH("・"&amp;H35&amp;"・","・"&amp;'職員マスター'!N34&amp;"・")),0,1)))+IF(OR(I35="休",I35="有",I35="明"),0,IF(I35="統",IF('職員マスター'!M34="可",0,1),IF(ISNUMBER(SEARCH("・"&amp;I35&amp;"・","・"&amp;'職員マスター'!N34&amp;"・")),0,1)))+IF(OR(J35="休",J35="有",J35="明"),0,IF(J35="統",IF('職員マスター'!M34="可",0,1),IF(ISNUMBER(SEARCH("・"&amp;J35&amp;"・","・"&amp;'職員マスター'!N34&amp;"・")),0,1)))</x:f>
        <x:v>0</x:v>
      </x:c>
      <x:c r="Q35" s="56" t="n">
        <x:f>IF(OR(C35="夜",C35="統"),IF(D35="明",0,1),IF(D35="明",1,0))+IF(OR(D35="夜",D35="統"),IF(E35="明",0,1),IF(E35="明",1,0))+IF(OR(E35="夜",E35="統"),IF(F35="明",0,1),IF(F35="明",1,0))+IF(OR(F35="夜",F35="統"),IF(G35="明",0,1),IF(G35="明",1,0))+IF(OR(G35="夜",G35="統"),IF(H35="明",0,1),IF(H35="明",1,0))+IF(OR(H35="夜",H35="統"),IF(I35="明",0,1),IF(I35="明",1,0))+IF(OR(I35="夜",I35="統"),IF(J35="明",0,1),IF(J35="明",1,0))</x:f>
        <x:v>0</x:v>
      </x:c>
    </x:row>
    <x:row r="36" ht="26" customHeight="1">
      <x:c r="A36" s="56" t="str">
        <x:v>2F-06</x:v>
      </x:c>
      <x:c r="B36" s="56" t="str">
        <x:v>2F</x:v>
      </x:c>
      <x:c r="C36" s="80" t="str">
        <x:v>休</x:v>
      </x:c>
      <x:c r="D36" s="80" t="str">
        <x:v>統</x:v>
      </x:c>
      <x:c r="E36" s="80" t="str">
        <x:v>明</x:v>
      </x:c>
      <x:c r="F36" s="80" t="str">
        <x:v>早</x:v>
      </x:c>
      <x:c r="G36" s="80" t="str">
        <x:v>早</x:v>
      </x:c>
      <x:c r="H36" s="80" t="str">
        <x:v>早</x:v>
      </x:c>
      <x:c r="I36" s="80" t="str">
        <x:v>遅</x:v>
      </x:c>
      <x:c r="J36" s="80" t="str">
        <x:v>夜</x:v>
      </x:c>
      <x:c r="K36" s="80" t="str">
        <x:v>明</x:v>
      </x:c>
      <x:c r="L36" s="72" t="n">
        <x:f>COUNTIFS(D36:J36,"早")*'勤務区分'!$G$6+COUNTIFS(D36:J36,"遅")*'勤務区分'!$G$7+COUNTIFS(D36:J36,"日")*'勤務区分'!$G$8+COUNTIFS(D36:J36,"午")*'勤務区分'!$G$9+COUNTIFS(D36:J36,"後")*'勤務区分'!$G$10+COUNTIFS(D36:J36,"短A")*'勤務区分'!$G$11+COUNTIFS(D36:J36,"短B")*'勤務区分'!$G$12+(COUNTIFS(D36:J36,"夜")+COUNTIFS(D36:J36,"統"))*'勤務区分'!$G$13</x:f>
        <x:v>59.99999999999999</x:v>
      </x:c>
      <x:c r="M36" s="72" t="n">
        <x:f>'職員マスター'!O35</x:f>
        <x:v>40</x:v>
      </x:c>
      <x:c r="N36" s="72" t="n">
        <x:f>MAX(0,L36-M36)</x:f>
        <x:v>19.999999999999993</x:v>
      </x:c>
      <x:c r="O36" s="56" t="n">
        <x:f>IF('職員マスター'!F35="不可",COUNTIFS(D36:J36,"夜")+COUNTIFS(D36:J36,"統"),0)</x:f>
        <x:v>0</x:v>
      </x:c>
      <x:c r="P36" s="56" t="n">
        <x:f>IF(OR(D36="休",D36="有",D36="明"),0,IF(D36="統",IF('職員マスター'!M35="可",0,1),IF(ISNUMBER(SEARCH("・"&amp;D36&amp;"・","・"&amp;'職員マスター'!N35&amp;"・")),0,1)))+IF(OR(E36="休",E36="有",E36="明"),0,IF(E36="統",IF('職員マスター'!M35="可",0,1),IF(ISNUMBER(SEARCH("・"&amp;E36&amp;"・","・"&amp;'職員マスター'!N35&amp;"・")),0,1)))+IF(OR(F36="休",F36="有",F36="明"),0,IF(F36="統",IF('職員マスター'!M35="可",0,1),IF(ISNUMBER(SEARCH("・"&amp;F36&amp;"・","・"&amp;'職員マスター'!N35&amp;"・")),0,1)))+IF(OR(G36="休",G36="有",G36="明"),0,IF(G36="統",IF('職員マスター'!M35="可",0,1),IF(ISNUMBER(SEARCH("・"&amp;G36&amp;"・","・"&amp;'職員マスター'!N35&amp;"・")),0,1)))+IF(OR(H36="休",H36="有",H36="明"),0,IF(H36="統",IF('職員マスター'!M35="可",0,1),IF(ISNUMBER(SEARCH("・"&amp;H36&amp;"・","・"&amp;'職員マスター'!N35&amp;"・")),0,1)))+IF(OR(I36="休",I36="有",I36="明"),0,IF(I36="統",IF('職員マスター'!M35="可",0,1),IF(ISNUMBER(SEARCH("・"&amp;I36&amp;"・","・"&amp;'職員マスター'!N35&amp;"・")),0,1)))+IF(OR(J36="休",J36="有",J36="明"),0,IF(J36="統",IF('職員マスター'!M35="可",0,1),IF(ISNUMBER(SEARCH("・"&amp;J36&amp;"・","・"&amp;'職員マスター'!N35&amp;"・")),0,1)))</x:f>
        <x:v>0</x:v>
      </x:c>
      <x:c r="Q36" s="56" t="n">
        <x:f>IF(OR(C36="夜",C36="統"),IF(D36="明",0,1),IF(D36="明",1,0))+IF(OR(D36="夜",D36="統"),IF(E36="明",0,1),IF(E36="明",1,0))+IF(OR(E36="夜",E36="統"),IF(F36="明",0,1),IF(F36="明",1,0))+IF(OR(F36="夜",F36="統"),IF(G36="明",0,1),IF(G36="明",1,0))+IF(OR(G36="夜",G36="統"),IF(H36="明",0,1),IF(H36="明",1,0))+IF(OR(H36="夜",H36="統"),IF(I36="明",0,1),IF(I36="明",1,0))+IF(OR(I36="夜",I36="統"),IF(J36="明",0,1),IF(J36="明",1,0))</x:f>
        <x:v>0</x:v>
      </x:c>
    </x:row>
    <x:row r="37" ht="26" customHeight="1">
      <x:c r="A37" s="56" t="str">
        <x:v>2F-07</x:v>
      </x:c>
      <x:c r="B37" s="56" t="str">
        <x:v>2F</x:v>
      </x:c>
      <x:c r="C37" s="80" t="str">
        <x:v>休</x:v>
      </x:c>
      <x:c r="D37" s="80" t="str">
        <x:v>早</x:v>
      </x:c>
      <x:c r="E37" s="80" t="str">
        <x:v>夜</x:v>
      </x:c>
      <x:c r="F37" s="80" t="str">
        <x:v>明</x:v>
      </x:c>
      <x:c r="G37" s="80" t="str">
        <x:v>遅</x:v>
      </x:c>
      <x:c r="H37" s="80" t="str">
        <x:v>遅</x:v>
      </x:c>
      <x:c r="I37" s="80" t="str">
        <x:v>夜</x:v>
      </x:c>
      <x:c r="J37" s="80" t="str">
        <x:v>明</x:v>
      </x:c>
      <x:c r="K37" s="80" t="str">
        <x:v>休</x:v>
      </x:c>
      <x:c r="L37" s="72" t="n">
        <x:f>COUNTIFS(D37:J37,"早")*'勤務区分'!$G$6+COUNTIFS(D37:J37,"遅")*'勤務区分'!$G$7+COUNTIFS(D37:J37,"日")*'勤務区分'!$G$8+COUNTIFS(D37:J37,"午")*'勤務区分'!$G$9+COUNTIFS(D37:J37,"後")*'勤務区分'!$G$10+COUNTIFS(D37:J37,"短A")*'勤務区分'!$G$11+COUNTIFS(D37:J37,"短B")*'勤務区分'!$G$12+(COUNTIFS(D37:J37,"夜")+COUNTIFS(D37:J37,"統"))*'勤務区分'!$G$13</x:f>
        <x:v>51.99999999999999</x:v>
      </x:c>
      <x:c r="M37" s="72" t="n">
        <x:f>'職員マスター'!O36</x:f>
        <x:v>40</x:v>
      </x:c>
      <x:c r="N37" s="72" t="n">
        <x:f>MAX(0,L37-M37)</x:f>
        <x:v>11.999999999999993</x:v>
      </x:c>
      <x:c r="O37" s="56" t="n">
        <x:f>IF('職員マスター'!F36="不可",COUNTIFS(D37:J37,"夜")+COUNTIFS(D37:J37,"統"),0)</x:f>
        <x:v>0</x:v>
      </x:c>
      <x:c r="P37" s="56" t="n">
        <x:f>IF(OR(D37="休",D37="有",D37="明"),0,IF(D37="統",IF('職員マスター'!M36="可",0,1),IF(ISNUMBER(SEARCH("・"&amp;D37&amp;"・","・"&amp;'職員マスター'!N36&amp;"・")),0,1)))+IF(OR(E37="休",E37="有",E37="明"),0,IF(E37="統",IF('職員マスター'!M36="可",0,1),IF(ISNUMBER(SEARCH("・"&amp;E37&amp;"・","・"&amp;'職員マスター'!N36&amp;"・")),0,1)))+IF(OR(F37="休",F37="有",F37="明"),0,IF(F37="統",IF('職員マスター'!M36="可",0,1),IF(ISNUMBER(SEARCH("・"&amp;F37&amp;"・","・"&amp;'職員マスター'!N36&amp;"・")),0,1)))+IF(OR(G37="休",G37="有",G37="明"),0,IF(G37="統",IF('職員マスター'!M36="可",0,1),IF(ISNUMBER(SEARCH("・"&amp;G37&amp;"・","・"&amp;'職員マスター'!N36&amp;"・")),0,1)))+IF(OR(H37="休",H37="有",H37="明"),0,IF(H37="統",IF('職員マスター'!M36="可",0,1),IF(ISNUMBER(SEARCH("・"&amp;H37&amp;"・","・"&amp;'職員マスター'!N36&amp;"・")),0,1)))+IF(OR(I37="休",I37="有",I37="明"),0,IF(I37="統",IF('職員マスター'!M36="可",0,1),IF(ISNUMBER(SEARCH("・"&amp;I37&amp;"・","・"&amp;'職員マスター'!N36&amp;"・")),0,1)))+IF(OR(J37="休",J37="有",J37="明"),0,IF(J37="統",IF('職員マスター'!M36="可",0,1),IF(ISNUMBER(SEARCH("・"&amp;J37&amp;"・","・"&amp;'職員マスター'!N36&amp;"・")),0,1)))</x:f>
        <x:v>0</x:v>
      </x:c>
      <x:c r="Q37" s="56" t="n">
        <x:f>IF(OR(C37="夜",C37="統"),IF(D37="明",0,1),IF(D37="明",1,0))+IF(OR(D37="夜",D37="統"),IF(E37="明",0,1),IF(E37="明",1,0))+IF(OR(E37="夜",E37="統"),IF(F37="明",0,1),IF(F37="明",1,0))+IF(OR(F37="夜",F37="統"),IF(G37="明",0,1),IF(G37="明",1,0))+IF(OR(G37="夜",G37="統"),IF(H37="明",0,1),IF(H37="明",1,0))+IF(OR(H37="夜",H37="統"),IF(I37="明",0,1),IF(I37="明",1,0))+IF(OR(I37="夜",I37="統"),IF(J37="明",0,1),IF(J37="明",1,0))</x:f>
        <x:v>0</x:v>
      </x:c>
    </x:row>
    <x:row r="38" ht="26" customHeight="1">
      <x:c r="A38" s="56" t="str">
        <x:v>2F-08</x:v>
      </x:c>
      <x:c r="B38" s="56" t="str">
        <x:v>2F</x:v>
      </x:c>
      <x:c r="C38" s="80" t="str">
        <x:v>休</x:v>
      </x:c>
      <x:c r="D38" s="80" t="str">
        <x:v>早</x:v>
      </x:c>
      <x:c r="E38" s="80" t="str">
        <x:v>夜</x:v>
      </x:c>
      <x:c r="F38" s="80" t="str">
        <x:v>明</x:v>
      </x:c>
      <x:c r="G38" s="80" t="str">
        <x:v>遅</x:v>
      </x:c>
      <x:c r="H38" s="80" t="str">
        <x:v>遅</x:v>
      </x:c>
      <x:c r="I38" s="80" t="str">
        <x:v>夜</x:v>
      </x:c>
      <x:c r="J38" s="80" t="str">
        <x:v>明</x:v>
      </x:c>
      <x:c r="K38" s="80" t="str">
        <x:v>休</x:v>
      </x:c>
      <x:c r="L38" s="72" t="n">
        <x:f>COUNTIFS(D38:J38,"早")*'勤務区分'!$G$6+COUNTIFS(D38:J38,"遅")*'勤務区分'!$G$7+COUNTIFS(D38:J38,"日")*'勤務区分'!$G$8+COUNTIFS(D38:J38,"午")*'勤務区分'!$G$9+COUNTIFS(D38:J38,"後")*'勤務区分'!$G$10+COUNTIFS(D38:J38,"短A")*'勤務区分'!$G$11+COUNTIFS(D38:J38,"短B")*'勤務区分'!$G$12+(COUNTIFS(D38:J38,"夜")+COUNTIFS(D38:J38,"統"))*'勤務区分'!$G$13</x:f>
        <x:v>51.99999999999999</x:v>
      </x:c>
      <x:c r="M38" s="72" t="n">
        <x:f>'職員マスター'!O37</x:f>
        <x:v>40</x:v>
      </x:c>
      <x:c r="N38" s="72" t="n">
        <x:f>MAX(0,L38-M38)</x:f>
        <x:v>11.999999999999993</x:v>
      </x:c>
      <x:c r="O38" s="56" t="n">
        <x:f>IF('職員マスター'!F37="不可",COUNTIFS(D38:J38,"夜")+COUNTIFS(D38:J38,"統"),0)</x:f>
        <x:v>0</x:v>
      </x:c>
      <x:c r="P38" s="56" t="n">
        <x:f>IF(OR(D38="休",D38="有",D38="明"),0,IF(D38="統",IF('職員マスター'!M37="可",0,1),IF(ISNUMBER(SEARCH("・"&amp;D38&amp;"・","・"&amp;'職員マスター'!N37&amp;"・")),0,1)))+IF(OR(E38="休",E38="有",E38="明"),0,IF(E38="統",IF('職員マスター'!M37="可",0,1),IF(ISNUMBER(SEARCH("・"&amp;E38&amp;"・","・"&amp;'職員マスター'!N37&amp;"・")),0,1)))+IF(OR(F38="休",F38="有",F38="明"),0,IF(F38="統",IF('職員マスター'!M37="可",0,1),IF(ISNUMBER(SEARCH("・"&amp;F38&amp;"・","・"&amp;'職員マスター'!N37&amp;"・")),0,1)))+IF(OR(G38="休",G38="有",G38="明"),0,IF(G38="統",IF('職員マスター'!M37="可",0,1),IF(ISNUMBER(SEARCH("・"&amp;G38&amp;"・","・"&amp;'職員マスター'!N37&amp;"・")),0,1)))+IF(OR(H38="休",H38="有",H38="明"),0,IF(H38="統",IF('職員マスター'!M37="可",0,1),IF(ISNUMBER(SEARCH("・"&amp;H38&amp;"・","・"&amp;'職員マスター'!N37&amp;"・")),0,1)))+IF(OR(I38="休",I38="有",I38="明"),0,IF(I38="統",IF('職員マスター'!M37="可",0,1),IF(ISNUMBER(SEARCH("・"&amp;I38&amp;"・","・"&amp;'職員マスター'!N37&amp;"・")),0,1)))+IF(OR(J38="休",J38="有",J38="明"),0,IF(J38="統",IF('職員マスター'!M37="可",0,1),IF(ISNUMBER(SEARCH("・"&amp;J38&amp;"・","・"&amp;'職員マスター'!N37&amp;"・")),0,1)))</x:f>
        <x:v>0</x:v>
      </x:c>
      <x:c r="Q38" s="56" t="n">
        <x:f>IF(OR(C38="夜",C38="統"),IF(D38="明",0,1),IF(D38="明",1,0))+IF(OR(D38="夜",D38="統"),IF(E38="明",0,1),IF(E38="明",1,0))+IF(OR(E38="夜",E38="統"),IF(F38="明",0,1),IF(F38="明",1,0))+IF(OR(F38="夜",F38="統"),IF(G38="明",0,1),IF(G38="明",1,0))+IF(OR(G38="夜",G38="統"),IF(H38="明",0,1),IF(H38="明",1,0))+IF(OR(H38="夜",H38="統"),IF(I38="明",0,1),IF(I38="明",1,0))+IF(OR(I38="夜",I38="統"),IF(J38="明",0,1),IF(J38="明",1,0))</x:f>
        <x:v>0</x:v>
      </x:c>
    </x:row>
    <x:row r="39" ht="26" customHeight="1">
      <x:c r="A39" s="56" t="str">
        <x:v>2F-09</x:v>
      </x:c>
      <x:c r="B39" s="56" t="str">
        <x:v>2F</x:v>
      </x:c>
      <x:c r="C39" s="80" t="str">
        <x:v>休</x:v>
      </x:c>
      <x:c r="D39" s="80" t="str">
        <x:v>早</x:v>
      </x:c>
      <x:c r="E39" s="80" t="str">
        <x:v>遅</x:v>
      </x:c>
      <x:c r="F39" s="80" t="str">
        <x:v>夜</x:v>
      </x:c>
      <x:c r="G39" s="80" t="str">
        <x:v>明</x:v>
      </x:c>
      <x:c r="H39" s="80" t="str">
        <x:v>遅</x:v>
      </x:c>
      <x:c r="I39" s="80" t="str">
        <x:v>遅</x:v>
      </x:c>
      <x:c r="J39" s="80" t="str">
        <x:v>休</x:v>
      </x:c>
      <x:c r="K39" s="80" t="str">
        <x:v>夜</x:v>
      </x:c>
      <x:c r="L39" s="72" t="n">
        <x:f>COUNTIFS(D39:J39,"早")*'勤務区分'!$G$6+COUNTIFS(D39:J39,"遅")*'勤務区分'!$G$7+COUNTIFS(D39:J39,"日")*'勤務区分'!$G$8+COUNTIFS(D39:J39,"午")*'勤務区分'!$G$9+COUNTIFS(D39:J39,"後")*'勤務区分'!$G$10+COUNTIFS(D39:J39,"短A")*'勤務区分'!$G$11+COUNTIFS(D39:J39,"短B")*'勤務区分'!$G$12+(COUNTIFS(D39:J39,"夜")+COUNTIFS(D39:J39,"統"))*'勤務区分'!$G$13</x:f>
        <x:v>45.99999999999999</x:v>
      </x:c>
      <x:c r="M39" s="72" t="n">
        <x:f>'職員マスター'!O38</x:f>
        <x:v>40</x:v>
      </x:c>
      <x:c r="N39" s="72" t="n">
        <x:f>MAX(0,L39-M39)</x:f>
        <x:v>5.999999999999993</x:v>
      </x:c>
      <x:c r="O39" s="56" t="n">
        <x:f>IF('職員マスター'!F38="不可",COUNTIFS(D39:J39,"夜")+COUNTIFS(D39:J39,"統"),0)</x:f>
        <x:v>0</x:v>
      </x:c>
      <x:c r="P39" s="56" t="n">
        <x:f>IF(OR(D39="休",D39="有",D39="明"),0,IF(D39="統",IF('職員マスター'!M38="可",0,1),IF(ISNUMBER(SEARCH("・"&amp;D39&amp;"・","・"&amp;'職員マスター'!N38&amp;"・")),0,1)))+IF(OR(E39="休",E39="有",E39="明"),0,IF(E39="統",IF('職員マスター'!M38="可",0,1),IF(ISNUMBER(SEARCH("・"&amp;E39&amp;"・","・"&amp;'職員マスター'!N38&amp;"・")),0,1)))+IF(OR(F39="休",F39="有",F39="明"),0,IF(F39="統",IF('職員マスター'!M38="可",0,1),IF(ISNUMBER(SEARCH("・"&amp;F39&amp;"・","・"&amp;'職員マスター'!N38&amp;"・")),0,1)))+IF(OR(G39="休",G39="有",G39="明"),0,IF(G39="統",IF('職員マスター'!M38="可",0,1),IF(ISNUMBER(SEARCH("・"&amp;G39&amp;"・","・"&amp;'職員マスター'!N38&amp;"・")),0,1)))+IF(OR(H39="休",H39="有",H39="明"),0,IF(H39="統",IF('職員マスター'!M38="可",0,1),IF(ISNUMBER(SEARCH("・"&amp;H39&amp;"・","・"&amp;'職員マスター'!N38&amp;"・")),0,1)))+IF(OR(I39="休",I39="有",I39="明"),0,IF(I39="統",IF('職員マスター'!M38="可",0,1),IF(ISNUMBER(SEARCH("・"&amp;I39&amp;"・","・"&amp;'職員マスター'!N38&amp;"・")),0,1)))+IF(OR(J39="休",J39="有",J39="明"),0,IF(J39="統",IF('職員マスター'!M38="可",0,1),IF(ISNUMBER(SEARCH("・"&amp;J39&amp;"・","・"&amp;'職員マスター'!N38&amp;"・")),0,1)))</x:f>
        <x:v>0</x:v>
      </x:c>
      <x:c r="Q39" s="56" t="n">
        <x:f>IF(OR(C39="夜",C39="統"),IF(D39="明",0,1),IF(D39="明",1,0))+IF(OR(D39="夜",D39="統"),IF(E39="明",0,1),IF(E39="明",1,0))+IF(OR(E39="夜",E39="統"),IF(F39="明",0,1),IF(F39="明",1,0))+IF(OR(F39="夜",F39="統"),IF(G39="明",0,1),IF(G39="明",1,0))+IF(OR(G39="夜",G39="統"),IF(H39="明",0,1),IF(H39="明",1,0))+IF(OR(H39="夜",H39="統"),IF(I39="明",0,1),IF(I39="明",1,0))+IF(OR(I39="夜",I39="統"),IF(J39="明",0,1),IF(J39="明",1,0))</x:f>
        <x:v>0</x:v>
      </x:c>
    </x:row>
    <x:row r="40" ht="26" customHeight="1">
      <x:c r="A40" s="56" t="str">
        <x:v>2F-10</x:v>
      </x:c>
      <x:c r="B40" s="56" t="str">
        <x:v>2F</x:v>
      </x:c>
      <x:c r="C40" s="80" t="str">
        <x:v>休</x:v>
      </x:c>
      <x:c r="D40" s="80" t="str">
        <x:v>早</x:v>
      </x:c>
      <x:c r="E40" s="80" t="str">
        <x:v>遅</x:v>
      </x:c>
      <x:c r="F40" s="80" t="str">
        <x:v>夜</x:v>
      </x:c>
      <x:c r="G40" s="80" t="str">
        <x:v>明</x:v>
      </x:c>
      <x:c r="H40" s="80" t="str">
        <x:v>遅</x:v>
      </x:c>
      <x:c r="I40" s="80" t="str">
        <x:v>遅</x:v>
      </x:c>
      <x:c r="J40" s="80" t="str">
        <x:v>休</x:v>
      </x:c>
      <x:c r="K40" s="80" t="str">
        <x:v>夜</x:v>
      </x:c>
      <x:c r="L40" s="72" t="n">
        <x:f>COUNTIFS(D40:J40,"早")*'勤務区分'!$G$6+COUNTIFS(D40:J40,"遅")*'勤務区分'!$G$7+COUNTIFS(D40:J40,"日")*'勤務区分'!$G$8+COUNTIFS(D40:J40,"午")*'勤務区分'!$G$9+COUNTIFS(D40:J40,"後")*'勤務区分'!$G$10+COUNTIFS(D40:J40,"短A")*'勤務区分'!$G$11+COUNTIFS(D40:J40,"短B")*'勤務区分'!$G$12+(COUNTIFS(D40:J40,"夜")+COUNTIFS(D40:J40,"統"))*'勤務区分'!$G$13</x:f>
        <x:v>45.99999999999999</x:v>
      </x:c>
      <x:c r="M40" s="72" t="n">
        <x:f>'職員マスター'!O39</x:f>
        <x:v>40</x:v>
      </x:c>
      <x:c r="N40" s="72" t="n">
        <x:f>MAX(0,L40-M40)</x:f>
        <x:v>5.999999999999993</x:v>
      </x:c>
      <x:c r="O40" s="56" t="n">
        <x:f>IF('職員マスター'!F39="不可",COUNTIFS(D40:J40,"夜")+COUNTIFS(D40:J40,"統"),0)</x:f>
        <x:v>0</x:v>
      </x:c>
      <x:c r="P40" s="56" t="n">
        <x:f>IF(OR(D40="休",D40="有",D40="明"),0,IF(D40="統",IF('職員マスター'!M39="可",0,1),IF(ISNUMBER(SEARCH("・"&amp;D40&amp;"・","・"&amp;'職員マスター'!N39&amp;"・")),0,1)))+IF(OR(E40="休",E40="有",E40="明"),0,IF(E40="統",IF('職員マスター'!M39="可",0,1),IF(ISNUMBER(SEARCH("・"&amp;E40&amp;"・","・"&amp;'職員マスター'!N39&amp;"・")),0,1)))+IF(OR(F40="休",F40="有",F40="明"),0,IF(F40="統",IF('職員マスター'!M39="可",0,1),IF(ISNUMBER(SEARCH("・"&amp;F40&amp;"・","・"&amp;'職員マスター'!N39&amp;"・")),0,1)))+IF(OR(G40="休",G40="有",G40="明"),0,IF(G40="統",IF('職員マスター'!M39="可",0,1),IF(ISNUMBER(SEARCH("・"&amp;G40&amp;"・","・"&amp;'職員マスター'!N39&amp;"・")),0,1)))+IF(OR(H40="休",H40="有",H40="明"),0,IF(H40="統",IF('職員マスター'!M39="可",0,1),IF(ISNUMBER(SEARCH("・"&amp;H40&amp;"・","・"&amp;'職員マスター'!N39&amp;"・")),0,1)))+IF(OR(I40="休",I40="有",I40="明"),0,IF(I40="統",IF('職員マスター'!M39="可",0,1),IF(ISNUMBER(SEARCH("・"&amp;I40&amp;"・","・"&amp;'職員マスター'!N39&amp;"・")),0,1)))+IF(OR(J40="休",J40="有",J40="明"),0,IF(J40="統",IF('職員マスター'!M39="可",0,1),IF(ISNUMBER(SEARCH("・"&amp;J40&amp;"・","・"&amp;'職員マスター'!N39&amp;"・")),0,1)))</x:f>
        <x:v>0</x:v>
      </x:c>
      <x:c r="Q40" s="56" t="n">
        <x:f>IF(OR(C40="夜",C40="統"),IF(D40="明",0,1),IF(D40="明",1,0))+IF(OR(D40="夜",D40="統"),IF(E40="明",0,1),IF(E40="明",1,0))+IF(OR(E40="夜",E40="統"),IF(F40="明",0,1),IF(F40="明",1,0))+IF(OR(F40="夜",F40="統"),IF(G40="明",0,1),IF(G40="明",1,0))+IF(OR(G40="夜",G40="統"),IF(H40="明",0,1),IF(H40="明",1,0))+IF(OR(H40="夜",H40="統"),IF(I40="明",0,1),IF(I40="明",1,0))+IF(OR(I40="夜",I40="統"),IF(J40="明",0,1),IF(J40="明",1,0))</x:f>
        <x:v>0</x:v>
      </x:c>
    </x:row>
    <x:row r="41" ht="26" customHeight="1">
      <x:c r="A41" s="56" t="str">
        <x:v>2F-11</x:v>
      </x:c>
      <x:c r="B41" s="56" t="str">
        <x:v>2F</x:v>
      </x:c>
      <x:c r="C41" s="80" t="str">
        <x:v>休</x:v>
      </x:c>
      <x:c r="D41" s="80" t="str">
        <x:v>遅</x:v>
      </x:c>
      <x:c r="E41" s="80" t="str">
        <x:v>遅</x:v>
      </x:c>
      <x:c r="F41" s="80" t="str">
        <x:v>休</x:v>
      </x:c>
      <x:c r="G41" s="80" t="str">
        <x:v>休</x:v>
      </x:c>
      <x:c r="H41" s="80" t="str">
        <x:v>夜</x:v>
      </x:c>
      <x:c r="I41" s="80" t="str">
        <x:v>早</x:v>
      </x:c>
      <x:c r="J41" s="80" t="str">
        <x:v>早</x:v>
      </x:c>
      <x:c r="K41" s="80" t="str">
        <x:v>休</x:v>
      </x:c>
      <x:c r="L41" s="72" t="n">
        <x:f>COUNTIFS(D41:J41,"早")*'勤務区分'!$G$6+COUNTIFS(D41:J41,"遅")*'勤務区分'!$G$7+COUNTIFS(D41:J41,"日")*'勤務区分'!$G$8+COUNTIFS(D41:J41,"午")*'勤務区分'!$G$9+COUNTIFS(D41:J41,"後")*'勤務区分'!$G$10+COUNTIFS(D41:J41,"短A")*'勤務区分'!$G$11+COUNTIFS(D41:J41,"短B")*'勤務区分'!$G$12+(COUNTIFS(D41:J41,"夜")+COUNTIFS(D41:J41,"統"))*'勤務区分'!$G$13</x:f>
        <x:v>45.99999999999999</x:v>
      </x:c>
      <x:c r="M41" s="72" t="n">
        <x:f>'職員マスター'!O40</x:f>
        <x:v>40</x:v>
      </x:c>
      <x:c r="N41" s="72" t="n">
        <x:f>MAX(0,L41-M41)</x:f>
        <x:v>5.999999999999993</x:v>
      </x:c>
      <x:c r="O41" s="56" t="n">
        <x:f>IF('職員マスター'!F40="不可",COUNTIFS(D41:J41,"夜")+COUNTIFS(D41:J41,"統"),0)</x:f>
        <x:v>0</x:v>
      </x:c>
      <x:c r="P41" s="56" t="n">
        <x:f>IF(OR(D41="休",D41="有",D41="明"),0,IF(D41="統",IF('職員マスター'!M40="可",0,1),IF(ISNUMBER(SEARCH("・"&amp;D41&amp;"・","・"&amp;'職員マスター'!N40&amp;"・")),0,1)))+IF(OR(E41="休",E41="有",E41="明"),0,IF(E41="統",IF('職員マスター'!M40="可",0,1),IF(ISNUMBER(SEARCH("・"&amp;E41&amp;"・","・"&amp;'職員マスター'!N40&amp;"・")),0,1)))+IF(OR(F41="休",F41="有",F41="明"),0,IF(F41="統",IF('職員マスター'!M40="可",0,1),IF(ISNUMBER(SEARCH("・"&amp;F41&amp;"・","・"&amp;'職員マスター'!N40&amp;"・")),0,1)))+IF(OR(G41="休",G41="有",G41="明"),0,IF(G41="統",IF('職員マスター'!M40="可",0,1),IF(ISNUMBER(SEARCH("・"&amp;G41&amp;"・","・"&amp;'職員マスター'!N40&amp;"・")),0,1)))+IF(OR(H41="休",H41="有",H41="明"),0,IF(H41="統",IF('職員マスター'!M40="可",0,1),IF(ISNUMBER(SEARCH("・"&amp;H41&amp;"・","・"&amp;'職員マスター'!N40&amp;"・")),0,1)))+IF(OR(I41="休",I41="有",I41="明"),0,IF(I41="統",IF('職員マスター'!M40="可",0,1),IF(ISNUMBER(SEARCH("・"&amp;I41&amp;"・","・"&amp;'職員マスター'!N40&amp;"・")),0,1)))+IF(OR(J41="休",J41="有",J41="明"),0,IF(J41="統",IF('職員マスター'!M40="可",0,1),IF(ISNUMBER(SEARCH("・"&amp;J41&amp;"・","・"&amp;'職員マスター'!N40&amp;"・")),0,1)))</x:f>
        <x:v>0</x:v>
      </x:c>
      <x:c r="Q41" s="56" t="n">
        <x:f>IF(OR(C41="夜",C41="統"),IF(D41="明",0,1),IF(D41="明",1,0))+IF(OR(D41="夜",D41="統"),IF(E41="明",0,1),IF(E41="明",1,0))+IF(OR(E41="夜",E41="統"),IF(F41="明",0,1),IF(F41="明",1,0))+IF(OR(F41="夜",F41="統"),IF(G41="明",0,1),IF(G41="明",1,0))+IF(OR(G41="夜",G41="統"),IF(H41="明",0,1),IF(H41="明",1,0))+IF(OR(H41="夜",H41="統"),IF(I41="明",0,1),IF(I41="明",1,0))+IF(OR(I41="夜",I41="統"),IF(J41="明",0,1),IF(J41="明",1,0))</x:f>
        <x:v>1</x:v>
      </x:c>
    </x:row>
    <x:row r="42" ht="26" customHeight="1">
      <x:c r="A42" s="56" t="str">
        <x:v>2F-12</x:v>
      </x:c>
      <x:c r="B42" s="56" t="str">
        <x:v>2F</x:v>
      </x:c>
      <x:c r="C42" s="80" t="str">
        <x:v>休</x:v>
      </x:c>
      <x:c r="D42" s="80" t="str">
        <x:v>遅</x:v>
      </x:c>
      <x:c r="E42" s="80" t="str">
        <x:v>遅</x:v>
      </x:c>
      <x:c r="F42" s="80" t="str">
        <x:v>休</x:v>
      </x:c>
      <x:c r="G42" s="80" t="str">
        <x:v>休</x:v>
      </x:c>
      <x:c r="H42" s="80" t="str">
        <x:v>夜</x:v>
      </x:c>
      <x:c r="I42" s="80" t="str">
        <x:v>明</x:v>
      </x:c>
      <x:c r="J42" s="80" t="str">
        <x:v>早</x:v>
      </x:c>
      <x:c r="K42" s="80" t="str">
        <x:v>休</x:v>
      </x:c>
      <x:c r="L42" s="72" t="n">
        <x:f>COUNTIFS(D42:J42,"早")*'勤務区分'!$G$6+COUNTIFS(D42:J42,"遅")*'勤務区分'!$G$7+COUNTIFS(D42:J42,"日")*'勤務区分'!$G$8+COUNTIFS(D42:J42,"午")*'勤務区分'!$G$9+COUNTIFS(D42:J42,"後")*'勤務区分'!$G$10+COUNTIFS(D42:J42,"短A")*'勤務区分'!$G$11+COUNTIFS(D42:J42,"短B")*'勤務区分'!$G$12+(COUNTIFS(D42:J42,"夜")+COUNTIFS(D42:J42,"統"))*'勤務区分'!$G$13</x:f>
        <x:v>37.99999999999999</x:v>
      </x:c>
      <x:c r="M42" s="72" t="n">
        <x:f>'職員マスター'!O41</x:f>
        <x:v>40</x:v>
      </x:c>
      <x:c r="N42" s="72" t="n">
        <x:f>MAX(0,L42-M42)</x:f>
        <x:v>0</x:v>
      </x:c>
      <x:c r="O42" s="56" t="n">
        <x:f>IF('職員マスター'!F41="不可",COUNTIFS(D42:J42,"夜")+COUNTIFS(D42:J42,"統"),0)</x:f>
        <x:v>0</x:v>
      </x:c>
      <x:c r="P42" s="56" t="n">
        <x:f>IF(OR(D42="休",D42="有",D42="明"),0,IF(D42="統",IF('職員マスター'!M41="可",0,1),IF(ISNUMBER(SEARCH("・"&amp;D42&amp;"・","・"&amp;'職員マスター'!N41&amp;"・")),0,1)))+IF(OR(E42="休",E42="有",E42="明"),0,IF(E42="統",IF('職員マスター'!M41="可",0,1),IF(ISNUMBER(SEARCH("・"&amp;E42&amp;"・","・"&amp;'職員マスター'!N41&amp;"・")),0,1)))+IF(OR(F42="休",F42="有",F42="明"),0,IF(F42="統",IF('職員マスター'!M41="可",0,1),IF(ISNUMBER(SEARCH("・"&amp;F42&amp;"・","・"&amp;'職員マスター'!N41&amp;"・")),0,1)))+IF(OR(G42="休",G42="有",G42="明"),0,IF(G42="統",IF('職員マスター'!M41="可",0,1),IF(ISNUMBER(SEARCH("・"&amp;G42&amp;"・","・"&amp;'職員マスター'!N41&amp;"・")),0,1)))+IF(OR(H42="休",H42="有",H42="明"),0,IF(H42="統",IF('職員マスター'!M41="可",0,1),IF(ISNUMBER(SEARCH("・"&amp;H42&amp;"・","・"&amp;'職員マスター'!N41&amp;"・")),0,1)))+IF(OR(I42="休",I42="有",I42="明"),0,IF(I42="統",IF('職員マスター'!M41="可",0,1),IF(ISNUMBER(SEARCH("・"&amp;I42&amp;"・","・"&amp;'職員マスター'!N41&amp;"・")),0,1)))+IF(OR(J42="休",J42="有",J42="明"),0,IF(J42="統",IF('職員マスター'!M41="可",0,1),IF(ISNUMBER(SEARCH("・"&amp;J42&amp;"・","・"&amp;'職員マスター'!N41&amp;"・")),0,1)))</x:f>
        <x:v>0</x:v>
      </x:c>
      <x:c r="Q42" s="56" t="n">
        <x:f>IF(OR(C42="夜",C42="統"),IF(D42="明",0,1),IF(D42="明",1,0))+IF(OR(D42="夜",D42="統"),IF(E42="明",0,1),IF(E42="明",1,0))+IF(OR(E42="夜",E42="統"),IF(F42="明",0,1),IF(F42="明",1,0))+IF(OR(F42="夜",F42="統"),IF(G42="明",0,1),IF(G42="明",1,0))+IF(OR(G42="夜",G42="統"),IF(H42="明",0,1),IF(H42="明",1,0))+IF(OR(H42="夜",H42="統"),IF(I42="明",0,1),IF(I42="明",1,0))+IF(OR(I42="夜",I42="統"),IF(J42="明",0,1),IF(J42="明",1,0))</x:f>
        <x:v>0</x:v>
      </x:c>
    </x:row>
    <x:row r="43" ht="26" customHeight="1">
      <x:c r="A43" s="56" t="str">
        <x:v>2F-13</x:v>
      </x:c>
      <x:c r="B43" s="56" t="str">
        <x:v>2F</x:v>
      </x:c>
      <x:c r="C43" s="80" t="str">
        <x:v>休</x:v>
      </x:c>
      <x:c r="D43" s="80" t="str">
        <x:v>遅</x:v>
      </x:c>
      <x:c r="E43" s="80" t="str">
        <x:v>日</x:v>
      </x:c>
      <x:c r="F43" s="80" t="str">
        <x:v>休</x:v>
      </x:c>
      <x:c r="G43" s="80" t="str">
        <x:v>夜</x:v>
      </x:c>
      <x:c r="H43" s="80" t="str">
        <x:v>明</x:v>
      </x:c>
      <x:c r="I43" s="80" t="str">
        <x:v>早</x:v>
      </x:c>
      <x:c r="J43" s="80" t="str">
        <x:v>遅</x:v>
      </x:c>
      <x:c r="K43" s="80" t="str">
        <x:v>休</x:v>
      </x:c>
      <x:c r="L43" s="72" t="n">
        <x:f>COUNTIFS(D43:J43,"早")*'勤務区分'!$G$6+COUNTIFS(D43:J43,"遅")*'勤務区分'!$G$7+COUNTIFS(D43:J43,"日")*'勤務区分'!$G$8+COUNTIFS(D43:J43,"午")*'勤務区分'!$G$9+COUNTIFS(D43:J43,"後")*'勤務区分'!$G$10+COUNTIFS(D43:J43,"短A")*'勤務区分'!$G$11+COUNTIFS(D43:J43,"短B")*'勤務区分'!$G$12+(COUNTIFS(D43:J43,"夜")+COUNTIFS(D43:J43,"統"))*'勤務区分'!$G$13</x:f>
        <x:v>45.99999999999999</x:v>
      </x:c>
      <x:c r="M43" s="72" t="n">
        <x:f>'職員マスター'!O42</x:f>
        <x:v>40</x:v>
      </x:c>
      <x:c r="N43" s="72" t="n">
        <x:f>MAX(0,L43-M43)</x:f>
        <x:v>5.999999999999993</x:v>
      </x:c>
      <x:c r="O43" s="56" t="n">
        <x:f>IF('職員マスター'!F42="不可",COUNTIFS(D43:J43,"夜")+COUNTIFS(D43:J43,"統"),0)</x:f>
        <x:v>0</x:v>
      </x:c>
      <x:c r="P43" s="56" t="n">
        <x:f>IF(OR(D43="休",D43="有",D43="明"),0,IF(D43="統",IF('職員マスター'!M42="可",0,1),IF(ISNUMBER(SEARCH("・"&amp;D43&amp;"・","・"&amp;'職員マスター'!N42&amp;"・")),0,1)))+IF(OR(E43="休",E43="有",E43="明"),0,IF(E43="統",IF('職員マスター'!M42="可",0,1),IF(ISNUMBER(SEARCH("・"&amp;E43&amp;"・","・"&amp;'職員マスター'!N42&amp;"・")),0,1)))+IF(OR(F43="休",F43="有",F43="明"),0,IF(F43="統",IF('職員マスター'!M42="可",0,1),IF(ISNUMBER(SEARCH("・"&amp;F43&amp;"・","・"&amp;'職員マスター'!N42&amp;"・")),0,1)))+IF(OR(G43="休",G43="有",G43="明"),0,IF(G43="統",IF('職員マスター'!M42="可",0,1),IF(ISNUMBER(SEARCH("・"&amp;G43&amp;"・","・"&amp;'職員マスター'!N42&amp;"・")),0,1)))+IF(OR(H43="休",H43="有",H43="明"),0,IF(H43="統",IF('職員マスター'!M42="可",0,1),IF(ISNUMBER(SEARCH("・"&amp;H43&amp;"・","・"&amp;'職員マスター'!N42&amp;"・")),0,1)))+IF(OR(I43="休",I43="有",I43="明"),0,IF(I43="統",IF('職員マスター'!M42="可",0,1),IF(ISNUMBER(SEARCH("・"&amp;I43&amp;"・","・"&amp;'職員マスター'!N42&amp;"・")),0,1)))+IF(OR(J43="休",J43="有",J43="明"),0,IF(J43="統",IF('職員マスター'!M42="可",0,1),IF(ISNUMBER(SEARCH("・"&amp;J43&amp;"・","・"&amp;'職員マスター'!N42&amp;"・")),0,1)))</x:f>
        <x:v>0</x:v>
      </x:c>
      <x:c r="Q43" s="56" t="n">
        <x:f>IF(OR(C43="夜",C43="統"),IF(D43="明",0,1),IF(D43="明",1,0))+IF(OR(D43="夜",D43="統"),IF(E43="明",0,1),IF(E43="明",1,0))+IF(OR(E43="夜",E43="統"),IF(F43="明",0,1),IF(F43="明",1,0))+IF(OR(F43="夜",F43="統"),IF(G43="明",0,1),IF(G43="明",1,0))+IF(OR(G43="夜",G43="統"),IF(H43="明",0,1),IF(H43="明",1,0))+IF(OR(H43="夜",H43="統"),IF(I43="明",0,1),IF(I43="明",1,0))+IF(OR(I43="夜",I43="統"),IF(J43="明",0,1),IF(J43="明",1,0))</x:f>
        <x:v>0</x:v>
      </x:c>
    </x:row>
    <x:row r="44" ht="26" customHeight="1">
      <x:c r="A44" s="56" t="str">
        <x:v>2F-14</x:v>
      </x:c>
      <x:c r="B44" s="56" t="str">
        <x:v>2F</x:v>
      </x:c>
      <x:c r="C44" s="80" t="str">
        <x:v>休</x:v>
      </x:c>
      <x:c r="D44" s="80" t="str">
        <x:v>遅</x:v>
      </x:c>
      <x:c r="E44" s="80" t="str">
        <x:v>休</x:v>
      </x:c>
      <x:c r="F44" s="80" t="str">
        <x:v>遅</x:v>
      </x:c>
      <x:c r="G44" s="80" t="str">
        <x:v>夜</x:v>
      </x:c>
      <x:c r="H44" s="80" t="str">
        <x:v>明</x:v>
      </x:c>
      <x:c r="I44" s="80" t="str">
        <x:v>早</x:v>
      </x:c>
      <x:c r="J44" s="80" t="str">
        <x:v>遅</x:v>
      </x:c>
      <x:c r="K44" s="80" t="str">
        <x:v>休</x:v>
      </x:c>
      <x:c r="L44" s="72" t="n">
        <x:f>COUNTIFS(D44:J44,"早")*'勤務区分'!$G$6+COUNTIFS(D44:J44,"遅")*'勤務区分'!$G$7+COUNTIFS(D44:J44,"日")*'勤務区分'!$G$8+COUNTIFS(D44:J44,"午")*'勤務区分'!$G$9+COUNTIFS(D44:J44,"後")*'勤務区分'!$G$10+COUNTIFS(D44:J44,"短A")*'勤務区分'!$G$11+COUNTIFS(D44:J44,"短B")*'勤務区分'!$G$12+(COUNTIFS(D44:J44,"夜")+COUNTIFS(D44:J44,"統"))*'勤務区分'!$G$13</x:f>
        <x:v>45.99999999999999</x:v>
      </x:c>
      <x:c r="M44" s="72" t="n">
        <x:f>'職員マスター'!O43</x:f>
        <x:v>40</x:v>
      </x:c>
      <x:c r="N44" s="72" t="n">
        <x:f>MAX(0,L44-M44)</x:f>
        <x:v>5.999999999999993</x:v>
      </x:c>
      <x:c r="O44" s="56" t="n">
        <x:f>IF('職員マスター'!F43="不可",COUNTIFS(D44:J44,"夜")+COUNTIFS(D44:J44,"統"),0)</x:f>
        <x:v>0</x:v>
      </x:c>
      <x:c r="P44" s="56" t="n">
        <x:f>IF(OR(D44="休",D44="有",D44="明"),0,IF(D44="統",IF('職員マスター'!M43="可",0,1),IF(ISNUMBER(SEARCH("・"&amp;D44&amp;"・","・"&amp;'職員マスター'!N43&amp;"・")),0,1)))+IF(OR(E44="休",E44="有",E44="明"),0,IF(E44="統",IF('職員マスター'!M43="可",0,1),IF(ISNUMBER(SEARCH("・"&amp;E44&amp;"・","・"&amp;'職員マスター'!N43&amp;"・")),0,1)))+IF(OR(F44="休",F44="有",F44="明"),0,IF(F44="統",IF('職員マスター'!M43="可",0,1),IF(ISNUMBER(SEARCH("・"&amp;F44&amp;"・","・"&amp;'職員マスター'!N43&amp;"・")),0,1)))+IF(OR(G44="休",G44="有",G44="明"),0,IF(G44="統",IF('職員マスター'!M43="可",0,1),IF(ISNUMBER(SEARCH("・"&amp;G44&amp;"・","・"&amp;'職員マスター'!N43&amp;"・")),0,1)))+IF(OR(H44="休",H44="有",H44="明"),0,IF(H44="統",IF('職員マスター'!M43="可",0,1),IF(ISNUMBER(SEARCH("・"&amp;H44&amp;"・","・"&amp;'職員マスター'!N43&amp;"・")),0,1)))+IF(OR(I44="休",I44="有",I44="明"),0,IF(I44="統",IF('職員マスター'!M43="可",0,1),IF(ISNUMBER(SEARCH("・"&amp;I44&amp;"・","・"&amp;'職員マスター'!N43&amp;"・")),0,1)))+IF(OR(J44="休",J44="有",J44="明"),0,IF(J44="統",IF('職員マスター'!M43="可",0,1),IF(ISNUMBER(SEARCH("・"&amp;J44&amp;"・","・"&amp;'職員マスター'!N43&amp;"・")),0,1)))</x:f>
        <x:v>0</x:v>
      </x:c>
      <x:c r="Q44" s="56" t="n">
        <x:f>IF(OR(C44="夜",C44="統"),IF(D44="明",0,1),IF(D44="明",1,0))+IF(OR(D44="夜",D44="統"),IF(E44="明",0,1),IF(E44="明",1,0))+IF(OR(E44="夜",E44="統"),IF(F44="明",0,1),IF(F44="明",1,0))+IF(OR(F44="夜",F44="統"),IF(G44="明",0,1),IF(G44="明",1,0))+IF(OR(G44="夜",G44="統"),IF(H44="明",0,1),IF(H44="明",1,0))+IF(OR(H44="夜",H44="統"),IF(I44="明",0,1),IF(I44="明",1,0))+IF(OR(I44="夜",I44="統"),IF(J44="明",0,1),IF(J44="明",1,0))</x:f>
        <x:v>0</x:v>
      </x:c>
    </x:row>
    <x:row r="45" ht="26" customHeight="1">
      <x:c r="A45" s="56" t="str">
        <x:v>2F-15</x:v>
      </x:c>
      <x:c r="B45" s="56" t="str">
        <x:v>2F</x:v>
      </x:c>
      <x:c r="C45" s="80" t="str">
        <x:v>休</x:v>
      </x:c>
      <x:c r="D45" s="80" t="str">
        <x:v>休</x:v>
      </x:c>
      <x:c r="E45" s="80" t="str">
        <x:v>早</x:v>
      </x:c>
      <x:c r="F45" s="80" t="str">
        <x:v>遅</x:v>
      </x:c>
      <x:c r="G45" s="80" t="str">
        <x:v>休</x:v>
      </x:c>
      <x:c r="H45" s="80" t="str">
        <x:v>休</x:v>
      </x:c>
      <x:c r="I45" s="80" t="str">
        <x:v>早</x:v>
      </x:c>
      <x:c r="J45" s="80" t="str">
        <x:v>遅</x:v>
      </x:c>
      <x:c r="K45" s="80" t="str">
        <x:v>休</x:v>
      </x:c>
      <x:c r="L45" s="72" t="n">
        <x:f>COUNTIFS(D45:J45,"早")*'勤務区分'!$G$6+COUNTIFS(D45:J45,"遅")*'勤務区分'!$G$7+COUNTIFS(D45:J45,"日")*'勤務区分'!$G$8+COUNTIFS(D45:J45,"午")*'勤務区分'!$G$9+COUNTIFS(D45:J45,"後")*'勤務区分'!$G$10+COUNTIFS(D45:J45,"短A")*'勤務区分'!$G$11+COUNTIFS(D45:J45,"短B")*'勤務区分'!$G$12+(COUNTIFS(D45:J45,"夜")+COUNTIFS(D45:J45,"統"))*'勤務区分'!$G$13</x:f>
        <x:v>31.999999999999993</x:v>
      </x:c>
      <x:c r="M45" s="72" t="n">
        <x:f>'職員マスター'!O44</x:f>
        <x:v>40</x:v>
      </x:c>
      <x:c r="N45" s="72" t="n">
        <x:f>MAX(0,L45-M45)</x:f>
        <x:v>0</x:v>
      </x:c>
      <x:c r="O45" s="56" t="n">
        <x:f>IF('職員マスター'!F44="不可",COUNTIFS(D45:J45,"夜")+COUNTIFS(D45:J45,"統"),0)</x:f>
        <x:v>0</x:v>
      </x:c>
      <x:c r="P45" s="56" t="n">
        <x:f>IF(OR(D45="休",D45="有",D45="明"),0,IF(D45="統",IF('職員マスター'!M44="可",0,1),IF(ISNUMBER(SEARCH("・"&amp;D45&amp;"・","・"&amp;'職員マスター'!N44&amp;"・")),0,1)))+IF(OR(E45="休",E45="有",E45="明"),0,IF(E45="統",IF('職員マスター'!M44="可",0,1),IF(ISNUMBER(SEARCH("・"&amp;E45&amp;"・","・"&amp;'職員マスター'!N44&amp;"・")),0,1)))+IF(OR(F45="休",F45="有",F45="明"),0,IF(F45="統",IF('職員マスター'!M44="可",0,1),IF(ISNUMBER(SEARCH("・"&amp;F45&amp;"・","・"&amp;'職員マスター'!N44&amp;"・")),0,1)))+IF(OR(G45="休",G45="有",G45="明"),0,IF(G45="統",IF('職員マスター'!M44="可",0,1),IF(ISNUMBER(SEARCH("・"&amp;G45&amp;"・","・"&amp;'職員マスター'!N44&amp;"・")),0,1)))+IF(OR(H45="休",H45="有",H45="明"),0,IF(H45="統",IF('職員マスター'!M44="可",0,1),IF(ISNUMBER(SEARCH("・"&amp;H45&amp;"・","・"&amp;'職員マスター'!N44&amp;"・")),0,1)))+IF(OR(I45="休",I45="有",I45="明"),0,IF(I45="統",IF('職員マスター'!M44="可",0,1),IF(ISNUMBER(SEARCH("・"&amp;I45&amp;"・","・"&amp;'職員マスター'!N44&amp;"・")),0,1)))+IF(OR(J45="休",J45="有",J45="明"),0,IF(J45="統",IF('職員マスター'!M44="可",0,1),IF(ISNUMBER(SEARCH("・"&amp;J45&amp;"・","・"&amp;'職員マスター'!N44&amp;"・")),0,1)))</x:f>
        <x:v>0</x:v>
      </x:c>
      <x:c r="Q45" s="56" t="n">
        <x:f>IF(OR(C45="夜",C45="統"),IF(D45="明",0,1),IF(D45="明",1,0))+IF(OR(D45="夜",D45="統"),IF(E45="明",0,1),IF(E45="明",1,0))+IF(OR(E45="夜",E45="統"),IF(F45="明",0,1),IF(F45="明",1,0))+IF(OR(F45="夜",F45="統"),IF(G45="明",0,1),IF(G45="明",1,0))+IF(OR(G45="夜",G45="統"),IF(H45="明",0,1),IF(H45="明",1,0))+IF(OR(H45="夜",H45="統"),IF(I45="明",0,1),IF(I45="明",1,0))+IF(OR(I45="夜",I45="統"),IF(J45="明",0,1),IF(J45="明",1,0))</x:f>
        <x:v>0</x:v>
      </x:c>
    </x:row>
    <x:row r="46" ht="26" customHeight="1">
      <x:c r="A46" s="56" t="str">
        <x:v>2F-16</x:v>
      </x:c>
      <x:c r="B46" s="56" t="str">
        <x:v>2F</x:v>
      </x:c>
      <x:c r="C46" s="80" t="str">
        <x:v>休</x:v>
      </x:c>
      <x:c r="D46" s="80" t="str">
        <x:v>休</x:v>
      </x:c>
      <x:c r="E46" s="80" t="str">
        <x:v>早</x:v>
      </x:c>
      <x:c r="F46" s="80" t="str">
        <x:v>休</x:v>
      </x:c>
      <x:c r="G46" s="80" t="str">
        <x:v>遅</x:v>
      </x:c>
      <x:c r="H46" s="80" t="str">
        <x:v>休</x:v>
      </x:c>
      <x:c r="I46" s="80" t="str">
        <x:v>早</x:v>
      </x:c>
      <x:c r="J46" s="80" t="str">
        <x:v>遅</x:v>
      </x:c>
      <x:c r="K46" s="80" t="str">
        <x:v>休</x:v>
      </x:c>
      <x:c r="L46" s="72" t="n">
        <x:f>COUNTIFS(D46:J46,"早")*'勤務区分'!$G$6+COUNTIFS(D46:J46,"遅")*'勤務区分'!$G$7+COUNTIFS(D46:J46,"日")*'勤務区分'!$G$8+COUNTIFS(D46:J46,"午")*'勤務区分'!$G$9+COUNTIFS(D46:J46,"後")*'勤務区分'!$G$10+COUNTIFS(D46:J46,"短A")*'勤務区分'!$G$11+COUNTIFS(D46:J46,"短B")*'勤務区分'!$G$12+(COUNTIFS(D46:J46,"夜")+COUNTIFS(D46:J46,"統"))*'勤務区分'!$G$13</x:f>
        <x:v>31.999999999999993</x:v>
      </x:c>
      <x:c r="M46" s="72" t="n">
        <x:f>'職員マスター'!O45</x:f>
        <x:v>40</x:v>
      </x:c>
      <x:c r="N46" s="72" t="n">
        <x:f>MAX(0,L46-M46)</x:f>
        <x:v>0</x:v>
      </x:c>
      <x:c r="O46" s="56" t="n">
        <x:f>IF('職員マスター'!F45="不可",COUNTIFS(D46:J46,"夜")+COUNTIFS(D46:J46,"統"),0)</x:f>
        <x:v>0</x:v>
      </x:c>
      <x:c r="P46" s="56" t="n">
        <x:f>IF(OR(D46="休",D46="有",D46="明"),0,IF(D46="統",IF('職員マスター'!M45="可",0,1),IF(ISNUMBER(SEARCH("・"&amp;D46&amp;"・","・"&amp;'職員マスター'!N45&amp;"・")),0,1)))+IF(OR(E46="休",E46="有",E46="明"),0,IF(E46="統",IF('職員マスター'!M45="可",0,1),IF(ISNUMBER(SEARCH("・"&amp;E46&amp;"・","・"&amp;'職員マスター'!N45&amp;"・")),0,1)))+IF(OR(F46="休",F46="有",F46="明"),0,IF(F46="統",IF('職員マスター'!M45="可",0,1),IF(ISNUMBER(SEARCH("・"&amp;F46&amp;"・","・"&amp;'職員マスター'!N45&amp;"・")),0,1)))+IF(OR(G46="休",G46="有",G46="明"),0,IF(G46="統",IF('職員マスター'!M45="可",0,1),IF(ISNUMBER(SEARCH("・"&amp;G46&amp;"・","・"&amp;'職員マスター'!N45&amp;"・")),0,1)))+IF(OR(H46="休",H46="有",H46="明"),0,IF(H46="統",IF('職員マスター'!M45="可",0,1),IF(ISNUMBER(SEARCH("・"&amp;H46&amp;"・","・"&amp;'職員マスター'!N45&amp;"・")),0,1)))+IF(OR(I46="休",I46="有",I46="明"),0,IF(I46="統",IF('職員マスター'!M45="可",0,1),IF(ISNUMBER(SEARCH("・"&amp;I46&amp;"・","・"&amp;'職員マスター'!N45&amp;"・")),0,1)))+IF(OR(J46="休",J46="有",J46="明"),0,IF(J46="統",IF('職員マスター'!M45="可",0,1),IF(ISNUMBER(SEARCH("・"&amp;J46&amp;"・","・"&amp;'職員マスター'!N45&amp;"・")),0,1)))</x:f>
        <x:v>0</x:v>
      </x:c>
      <x:c r="Q46" s="56" t="n">
        <x:f>IF(OR(C46="夜",C46="統"),IF(D46="明",0,1),IF(D46="明",1,0))+IF(OR(D46="夜",D46="統"),IF(E46="明",0,1),IF(E46="明",1,0))+IF(OR(E46="夜",E46="統"),IF(F46="明",0,1),IF(F46="明",1,0))+IF(OR(F46="夜",F46="統"),IF(G46="明",0,1),IF(G46="明",1,0))+IF(OR(G46="夜",G46="統"),IF(H46="明",0,1),IF(H46="明",1,0))+IF(OR(H46="夜",H46="統"),IF(I46="明",0,1),IF(I46="明",1,0))+IF(OR(I46="夜",I46="統"),IF(J46="明",0,1),IF(J46="明",1,0))</x:f>
        <x:v>0</x:v>
      </x:c>
    </x:row>
    <x:row r="47" ht="26" customHeight="1">
      <x:c r="A47" s="56" t="str">
        <x:v>2F-17</x:v>
      </x:c>
      <x:c r="B47" s="56" t="str">
        <x:v>2F</x:v>
      </x:c>
      <x:c r="C47" s="80" t="str">
        <x:v>休</x:v>
      </x:c>
      <x:c r="D47" s="80" t="str">
        <x:v>午</x:v>
      </x:c>
      <x:c r="E47" s="80" t="str">
        <x:v>休</x:v>
      </x:c>
      <x:c r="F47" s="80" t="str">
        <x:v>休</x:v>
      </x:c>
      <x:c r="G47" s="80" t="str">
        <x:v>午</x:v>
      </x:c>
      <x:c r="H47" s="80" t="str">
        <x:v>休</x:v>
      </x:c>
      <x:c r="I47" s="80" t="str">
        <x:v>休</x:v>
      </x:c>
      <x:c r="J47" s="80" t="str">
        <x:v>午</x:v>
      </x:c>
      <x:c r="K47" s="80" t="str">
        <x:v>休</x:v>
      </x:c>
      <x:c r="L47" s="72" t="n">
        <x:f>COUNTIFS(D47:J47,"早")*'勤務区分'!$G$6+COUNTIFS(D47:J47,"遅")*'勤務区分'!$G$7+COUNTIFS(D47:J47,"日")*'勤務区分'!$G$8+COUNTIFS(D47:J47,"午")*'勤務区分'!$G$9+COUNTIFS(D47:J47,"後")*'勤務区分'!$G$10+COUNTIFS(D47:J47,"短A")*'勤務区分'!$G$11+COUNTIFS(D47:J47,"短B")*'勤務区分'!$G$12+(COUNTIFS(D47:J47,"夜")+COUNTIFS(D47:J47,"統"))*'勤務区分'!$G$13</x:f>
        <x:v>11.999999999999996</x:v>
      </x:c>
      <x:c r="M47" s="72" t="n">
        <x:f>'職員マスター'!O46</x:f>
        <x:v>12</x:v>
      </x:c>
      <x:c r="N47" s="72" t="n">
        <x:f>MAX(0,L47-M47)</x:f>
        <x:v>0</x:v>
      </x:c>
      <x:c r="O47" s="56" t="n">
        <x:f>IF('職員マスター'!F46="不可",COUNTIFS(D47:J47,"夜")+COUNTIFS(D47:J47,"統"),0)</x:f>
        <x:v>0</x:v>
      </x:c>
      <x:c r="P47" s="56" t="n">
        <x:f>IF(OR(D47="休",D47="有",D47="明"),0,IF(D47="統",IF('職員マスター'!M46="可",0,1),IF(ISNUMBER(SEARCH("・"&amp;D47&amp;"・","・"&amp;'職員マスター'!N46&amp;"・")),0,1)))+IF(OR(E47="休",E47="有",E47="明"),0,IF(E47="統",IF('職員マスター'!M46="可",0,1),IF(ISNUMBER(SEARCH("・"&amp;E47&amp;"・","・"&amp;'職員マスター'!N46&amp;"・")),0,1)))+IF(OR(F47="休",F47="有",F47="明"),0,IF(F47="統",IF('職員マスター'!M46="可",0,1),IF(ISNUMBER(SEARCH("・"&amp;F47&amp;"・","・"&amp;'職員マスター'!N46&amp;"・")),0,1)))+IF(OR(G47="休",G47="有",G47="明"),0,IF(G47="統",IF('職員マスター'!M46="可",0,1),IF(ISNUMBER(SEARCH("・"&amp;G47&amp;"・","・"&amp;'職員マスター'!N46&amp;"・")),0,1)))+IF(OR(H47="休",H47="有",H47="明"),0,IF(H47="統",IF('職員マスター'!M46="可",0,1),IF(ISNUMBER(SEARCH("・"&amp;H47&amp;"・","・"&amp;'職員マスター'!N46&amp;"・")),0,1)))+IF(OR(I47="休",I47="有",I47="明"),0,IF(I47="統",IF('職員マスター'!M46="可",0,1),IF(ISNUMBER(SEARCH("・"&amp;I47&amp;"・","・"&amp;'職員マスター'!N46&amp;"・")),0,1)))+IF(OR(J47="休",J47="有",J47="明"),0,IF(J47="統",IF('職員マスター'!M46="可",0,1),IF(ISNUMBER(SEARCH("・"&amp;J47&amp;"・","・"&amp;'職員マスター'!N46&amp;"・")),0,1)))</x:f>
        <x:v>0</x:v>
      </x:c>
      <x:c r="Q47" s="56" t="n">
        <x:f>IF(OR(C47="夜",C47="統"),IF(D47="明",0,1),IF(D47="明",1,0))+IF(OR(D47="夜",D47="統"),IF(E47="明",0,1),IF(E47="明",1,0))+IF(OR(E47="夜",E47="統"),IF(F47="明",0,1),IF(F47="明",1,0))+IF(OR(F47="夜",F47="統"),IF(G47="明",0,1),IF(G47="明",1,0))+IF(OR(G47="夜",G47="統"),IF(H47="明",0,1),IF(H47="明",1,0))+IF(OR(H47="夜",H47="統"),IF(I47="明",0,1),IF(I47="明",1,0))+IF(OR(I47="夜",I47="統"),IF(J47="明",0,1),IF(J47="明",1,0))</x:f>
        <x:v>0</x:v>
      </x:c>
    </x:row>
    <x:row r="48" ht="26" customHeight="1">
      <x:c r="A48" s="56" t="str">
        <x:v>2F-18</x:v>
      </x:c>
      <x:c r="B48" s="56" t="str">
        <x:v>2F</x:v>
      </x:c>
      <x:c r="C48" s="80" t="str">
        <x:v>休</x:v>
      </x:c>
      <x:c r="D48" s="80" t="str">
        <x:v>休</x:v>
      </x:c>
      <x:c r="E48" s="80" t="str">
        <x:v>休</x:v>
      </x:c>
      <x:c r="F48" s="80" t="str">
        <x:v>後</x:v>
      </x:c>
      <x:c r="G48" s="80" t="str">
        <x:v>休</x:v>
      </x:c>
      <x:c r="H48" s="80" t="str">
        <x:v>休</x:v>
      </x:c>
      <x:c r="I48" s="80" t="str">
        <x:v>後</x:v>
      </x:c>
      <x:c r="J48" s="80" t="str">
        <x:v>休</x:v>
      </x:c>
      <x:c r="K48" s="80" t="str">
        <x:v>休</x:v>
      </x:c>
      <x:c r="L48" s="72" t="n">
        <x:f>COUNTIFS(D48:J48,"早")*'勤務区分'!$G$6+COUNTIFS(D48:J48,"遅")*'勤務区分'!$G$7+COUNTIFS(D48:J48,"日")*'勤務区分'!$G$8+COUNTIFS(D48:J48,"午")*'勤務区分'!$G$9+COUNTIFS(D48:J48,"後")*'勤務区分'!$G$10+COUNTIFS(D48:J48,"短A")*'勤務区分'!$G$11+COUNTIFS(D48:J48,"短B")*'勤務区分'!$G$12+(COUNTIFS(D48:J48,"夜")+COUNTIFS(D48:J48,"統"))*'勤務区分'!$G$13</x:f>
        <x:v>7.999999999999998</x:v>
      </x:c>
      <x:c r="M48" s="72" t="n">
        <x:f>'職員マスター'!O47</x:f>
        <x:v>12</x:v>
      </x:c>
      <x:c r="N48" s="72" t="n">
        <x:f>MAX(0,L48-M48)</x:f>
        <x:v>0</x:v>
      </x:c>
      <x:c r="O48" s="56" t="n">
        <x:f>IF('職員マスター'!F47="不可",COUNTIFS(D48:J48,"夜")+COUNTIFS(D48:J48,"統"),0)</x:f>
        <x:v>0</x:v>
      </x:c>
      <x:c r="P48" s="56" t="n">
        <x:f>IF(OR(D48="休",D48="有",D48="明"),0,IF(D48="統",IF('職員マスター'!M47="可",0,1),IF(ISNUMBER(SEARCH("・"&amp;D48&amp;"・","・"&amp;'職員マスター'!N47&amp;"・")),0,1)))+IF(OR(E48="休",E48="有",E48="明"),0,IF(E48="統",IF('職員マスター'!M47="可",0,1),IF(ISNUMBER(SEARCH("・"&amp;E48&amp;"・","・"&amp;'職員マスター'!N47&amp;"・")),0,1)))+IF(OR(F48="休",F48="有",F48="明"),0,IF(F48="統",IF('職員マスター'!M47="可",0,1),IF(ISNUMBER(SEARCH("・"&amp;F48&amp;"・","・"&amp;'職員マスター'!N47&amp;"・")),0,1)))+IF(OR(G48="休",G48="有",G48="明"),0,IF(G48="統",IF('職員マスター'!M47="可",0,1),IF(ISNUMBER(SEARCH("・"&amp;G48&amp;"・","・"&amp;'職員マスター'!N47&amp;"・")),0,1)))+IF(OR(H48="休",H48="有",H48="明"),0,IF(H48="統",IF('職員マスター'!M47="可",0,1),IF(ISNUMBER(SEARCH("・"&amp;H48&amp;"・","・"&amp;'職員マスター'!N47&amp;"・")),0,1)))+IF(OR(I48="休",I48="有",I48="明"),0,IF(I48="統",IF('職員マスター'!M47="可",0,1),IF(ISNUMBER(SEARCH("・"&amp;I48&amp;"・","・"&amp;'職員マスター'!N47&amp;"・")),0,1)))+IF(OR(J48="休",J48="有",J48="明"),0,IF(J48="統",IF('職員マスター'!M47="可",0,1),IF(ISNUMBER(SEARCH("・"&amp;J48&amp;"・","・"&amp;'職員マスター'!N47&amp;"・")),0,1)))</x:f>
        <x:v>0</x:v>
      </x:c>
      <x:c r="Q48" s="56" t="n">
        <x:f>IF(OR(C48="夜",C48="統"),IF(D48="明",0,1),IF(D48="明",1,0))+IF(OR(D48="夜",D48="統"),IF(E48="明",0,1),IF(E48="明",1,0))+IF(OR(E48="夜",E48="統"),IF(F48="明",0,1),IF(F48="明",1,0))+IF(OR(F48="夜",F48="統"),IF(G48="明",0,1),IF(G48="明",1,0))+IF(OR(G48="夜",G48="統"),IF(H48="明",0,1),IF(H48="明",1,0))+IF(OR(H48="夜",H48="統"),IF(I48="明",0,1),IF(I48="明",1,0))+IF(OR(I48="夜",I48="統"),IF(J48="明",0,1),IF(J48="明",1,0))</x:f>
        <x:v>0</x:v>
      </x:c>
    </x:row>
    <x:row r="49" ht="26" customHeight="1">
      <x:c r="A49" s="56" t="str">
        <x:v>2F-19</x:v>
      </x:c>
      <x:c r="B49" s="56" t="str">
        <x:v>2F</x:v>
      </x:c>
      <x:c r="C49" s="80" t="str">
        <x:v>休</x:v>
      </x:c>
      <x:c r="D49" s="80" t="str">
        <x:v>休</x:v>
      </x:c>
      <x:c r="E49" s="80" t="str">
        <x:v>午</x:v>
      </x:c>
      <x:c r="F49" s="80" t="str">
        <x:v>休</x:v>
      </x:c>
      <x:c r="G49" s="80" t="str">
        <x:v>休</x:v>
      </x:c>
      <x:c r="H49" s="80" t="str">
        <x:v>午</x:v>
      </x:c>
      <x:c r="I49" s="80" t="str">
        <x:v>休</x:v>
      </x:c>
      <x:c r="J49" s="80" t="str">
        <x:v>休</x:v>
      </x:c>
      <x:c r="K49" s="80" t="str">
        <x:v>休</x:v>
      </x:c>
      <x:c r="L49" s="72" t="n">
        <x:f>COUNTIFS(D49:J49,"早")*'勤務区分'!$G$6+COUNTIFS(D49:J49,"遅")*'勤務区分'!$G$7+COUNTIFS(D49:J49,"日")*'勤務区分'!$G$8+COUNTIFS(D49:J49,"午")*'勤務区分'!$G$9+COUNTIFS(D49:J49,"後")*'勤務区分'!$G$10+COUNTIFS(D49:J49,"短A")*'勤務区分'!$G$11+COUNTIFS(D49:J49,"短B")*'勤務区分'!$G$12+(COUNTIFS(D49:J49,"夜")+COUNTIFS(D49:J49,"統"))*'勤務区分'!$G$13</x:f>
        <x:v>7.999999999999998</x:v>
      </x:c>
      <x:c r="M49" s="72" t="n">
        <x:f>'職員マスター'!O48</x:f>
        <x:v>12</x:v>
      </x:c>
      <x:c r="N49" s="72" t="n">
        <x:f>MAX(0,L49-M49)</x:f>
        <x:v>0</x:v>
      </x:c>
      <x:c r="O49" s="56" t="n">
        <x:f>IF('職員マスター'!F48="不可",COUNTIFS(D49:J49,"夜")+COUNTIFS(D49:J49,"統"),0)</x:f>
        <x:v>0</x:v>
      </x:c>
      <x:c r="P49" s="56" t="n">
        <x:f>IF(OR(D49="休",D49="有",D49="明"),0,IF(D49="統",IF('職員マスター'!M48="可",0,1),IF(ISNUMBER(SEARCH("・"&amp;D49&amp;"・","・"&amp;'職員マスター'!N48&amp;"・")),0,1)))+IF(OR(E49="休",E49="有",E49="明"),0,IF(E49="統",IF('職員マスター'!M48="可",0,1),IF(ISNUMBER(SEARCH("・"&amp;E49&amp;"・","・"&amp;'職員マスター'!N48&amp;"・")),0,1)))+IF(OR(F49="休",F49="有",F49="明"),0,IF(F49="統",IF('職員マスター'!M48="可",0,1),IF(ISNUMBER(SEARCH("・"&amp;F49&amp;"・","・"&amp;'職員マスター'!N48&amp;"・")),0,1)))+IF(OR(G49="休",G49="有",G49="明"),0,IF(G49="統",IF('職員マスター'!M48="可",0,1),IF(ISNUMBER(SEARCH("・"&amp;G49&amp;"・","・"&amp;'職員マスター'!N48&amp;"・")),0,1)))+IF(OR(H49="休",H49="有",H49="明"),0,IF(H49="統",IF('職員マスター'!M48="可",0,1),IF(ISNUMBER(SEARCH("・"&amp;H49&amp;"・","・"&amp;'職員マスター'!N48&amp;"・")),0,1)))+IF(OR(I49="休",I49="有",I49="明"),0,IF(I49="統",IF('職員マスター'!M48="可",0,1),IF(ISNUMBER(SEARCH("・"&amp;I49&amp;"・","・"&amp;'職員マスター'!N48&amp;"・")),0,1)))+IF(OR(J49="休",J49="有",J49="明"),0,IF(J49="統",IF('職員マスター'!M48="可",0,1),IF(ISNUMBER(SEARCH("・"&amp;J49&amp;"・","・"&amp;'職員マスター'!N48&amp;"・")),0,1)))</x:f>
        <x:v>0</x:v>
      </x:c>
      <x:c r="Q49" s="56" t="n">
        <x:f>IF(OR(C49="夜",C49="統"),IF(D49="明",0,1),IF(D49="明",1,0))+IF(OR(D49="夜",D49="統"),IF(E49="明",0,1),IF(E49="明",1,0))+IF(OR(E49="夜",E49="統"),IF(F49="明",0,1),IF(F49="明",1,0))+IF(OR(F49="夜",F49="統"),IF(G49="明",0,1),IF(G49="明",1,0))+IF(OR(G49="夜",G49="統"),IF(H49="明",0,1),IF(H49="明",1,0))+IF(OR(H49="夜",H49="統"),IF(I49="明",0,1),IF(I49="明",1,0))+IF(OR(I49="夜",I49="統"),IF(J49="明",0,1),IF(J49="明",1,0))</x:f>
        <x:v>0</x:v>
      </x:c>
    </x:row>
    <x:row r="50" ht="26" customHeight="1">
      <x:c r="A50" s="56" t="str">
        <x:v>2F-20</x:v>
      </x:c>
      <x:c r="B50" s="56" t="str">
        <x:v>2F</x:v>
      </x:c>
      <x:c r="C50" s="80" t="str">
        <x:v>休</x:v>
      </x:c>
      <x:c r="D50" s="80" t="str">
        <x:v>後</x:v>
      </x:c>
      <x:c r="E50" s="80" t="str">
        <x:v>休</x:v>
      </x:c>
      <x:c r="F50" s="80" t="str">
        <x:v>休</x:v>
      </x:c>
      <x:c r="G50" s="80" t="str">
        <x:v>後</x:v>
      </x:c>
      <x:c r="H50" s="80" t="str">
        <x:v>休</x:v>
      </x:c>
      <x:c r="I50" s="80" t="str">
        <x:v>休</x:v>
      </x:c>
      <x:c r="J50" s="80" t="str">
        <x:v>後</x:v>
      </x:c>
      <x:c r="K50" s="80" t="str">
        <x:v>休</x:v>
      </x:c>
      <x:c r="L50" s="72" t="n">
        <x:f>COUNTIFS(D50:J50,"早")*'勤務区分'!$G$6+COUNTIFS(D50:J50,"遅")*'勤務区分'!$G$7+COUNTIFS(D50:J50,"日")*'勤務区分'!$G$8+COUNTIFS(D50:J50,"午")*'勤務区分'!$G$9+COUNTIFS(D50:J50,"後")*'勤務区分'!$G$10+COUNTIFS(D50:J50,"短A")*'勤務区分'!$G$11+COUNTIFS(D50:J50,"短B")*'勤務区分'!$G$12+(COUNTIFS(D50:J50,"夜")+COUNTIFS(D50:J50,"統"))*'勤務区分'!$G$13</x:f>
        <x:v>11.999999999999996</x:v>
      </x:c>
      <x:c r="M50" s="72" t="n">
        <x:f>'職員マスター'!O49</x:f>
        <x:v>12</x:v>
      </x:c>
      <x:c r="N50" s="72" t="n">
        <x:f>MAX(0,L50-M50)</x:f>
        <x:v>0</x:v>
      </x:c>
      <x:c r="O50" s="56" t="n">
        <x:f>IF('職員マスター'!F49="不可",COUNTIFS(D50:J50,"夜")+COUNTIFS(D50:J50,"統"),0)</x:f>
        <x:v>0</x:v>
      </x:c>
      <x:c r="P50" s="56" t="n">
        <x:f>IF(OR(D50="休",D50="有",D50="明"),0,IF(D50="統",IF('職員マスター'!M49="可",0,1),IF(ISNUMBER(SEARCH("・"&amp;D50&amp;"・","・"&amp;'職員マスター'!N49&amp;"・")),0,1)))+IF(OR(E50="休",E50="有",E50="明"),0,IF(E50="統",IF('職員マスター'!M49="可",0,1),IF(ISNUMBER(SEARCH("・"&amp;E50&amp;"・","・"&amp;'職員マスター'!N49&amp;"・")),0,1)))+IF(OR(F50="休",F50="有",F50="明"),0,IF(F50="統",IF('職員マスター'!M49="可",0,1),IF(ISNUMBER(SEARCH("・"&amp;F50&amp;"・","・"&amp;'職員マスター'!N49&amp;"・")),0,1)))+IF(OR(G50="休",G50="有",G50="明"),0,IF(G50="統",IF('職員マスター'!M49="可",0,1),IF(ISNUMBER(SEARCH("・"&amp;G50&amp;"・","・"&amp;'職員マスター'!N49&amp;"・")),0,1)))+IF(OR(H50="休",H50="有",H50="明"),0,IF(H50="統",IF('職員マスター'!M49="可",0,1),IF(ISNUMBER(SEARCH("・"&amp;H50&amp;"・","・"&amp;'職員マスター'!N49&amp;"・")),0,1)))+IF(OR(I50="休",I50="有",I50="明"),0,IF(I50="統",IF('職員マスター'!M49="可",0,1),IF(ISNUMBER(SEARCH("・"&amp;I50&amp;"・","・"&amp;'職員マスター'!N49&amp;"・")),0,1)))+IF(OR(J50="休",J50="有",J50="明"),0,IF(J50="統",IF('職員マスター'!M49="可",0,1),IF(ISNUMBER(SEARCH("・"&amp;J50&amp;"・","・"&amp;'職員マスター'!N49&amp;"・")),0,1)))</x:f>
        <x:v>0</x:v>
      </x:c>
      <x:c r="Q50" s="56" t="n">
        <x:f>IF(OR(C50="夜",C50="統"),IF(D50="明",0,1),IF(D50="明",1,0))+IF(OR(D50="夜",D50="統"),IF(E50="明",0,1),IF(E50="明",1,0))+IF(OR(E50="夜",E50="統"),IF(F50="明",0,1),IF(F50="明",1,0))+IF(OR(F50="夜",F50="統"),IF(G50="明",0,1),IF(G50="明",1,0))+IF(OR(G50="夜",G50="統"),IF(H50="明",0,1),IF(H50="明",1,0))+IF(OR(H50="夜",H50="統"),IF(I50="明",0,1),IF(I50="明",1,0))+IF(OR(I50="夜",I50="統"),IF(J50="明",0,1),IF(J50="明",1,0))</x:f>
        <x:v>0</x:v>
      </x:c>
    </x:row>
    <x:row r="51" ht="26" customHeight="1">
      <x:c r="A51" s="56" t="str">
        <x:v>2F-21</x:v>
      </x:c>
      <x:c r="B51" s="56" t="str">
        <x:v>2F</x:v>
      </x:c>
      <x:c r="C51" s="80" t="str">
        <x:v>休</x:v>
      </x:c>
      <x:c r="D51" s="80" t="str">
        <x:v>休</x:v>
      </x:c>
      <x:c r="E51" s="80" t="str">
        <x:v>休</x:v>
      </x:c>
      <x:c r="F51" s="80" t="str">
        <x:v>午</x:v>
      </x:c>
      <x:c r="G51" s="80" t="str">
        <x:v>休</x:v>
      </x:c>
      <x:c r="H51" s="80" t="str">
        <x:v>休</x:v>
      </x:c>
      <x:c r="I51" s="80" t="str">
        <x:v>午</x:v>
      </x:c>
      <x:c r="J51" s="80" t="str">
        <x:v>休</x:v>
      </x:c>
      <x:c r="K51" s="80" t="str">
        <x:v>休</x:v>
      </x:c>
      <x:c r="L51" s="72" t="n">
        <x:f>COUNTIFS(D51:J51,"早")*'勤務区分'!$G$6+COUNTIFS(D51:J51,"遅")*'勤務区分'!$G$7+COUNTIFS(D51:J51,"日")*'勤務区分'!$G$8+COUNTIFS(D51:J51,"午")*'勤務区分'!$G$9+COUNTIFS(D51:J51,"後")*'勤務区分'!$G$10+COUNTIFS(D51:J51,"短A")*'勤務区分'!$G$11+COUNTIFS(D51:J51,"短B")*'勤務区分'!$G$12+(COUNTIFS(D51:J51,"夜")+COUNTIFS(D51:J51,"統"))*'勤務区分'!$G$13</x:f>
        <x:v>7.999999999999998</x:v>
      </x:c>
      <x:c r="M51" s="72" t="n">
        <x:f>'職員マスター'!O50</x:f>
        <x:v>12</x:v>
      </x:c>
      <x:c r="N51" s="72" t="n">
        <x:f>MAX(0,L51-M51)</x:f>
        <x:v>0</x:v>
      </x:c>
      <x:c r="O51" s="56" t="n">
        <x:f>IF('職員マスター'!F50="不可",COUNTIFS(D51:J51,"夜")+COUNTIFS(D51:J51,"統"),0)</x:f>
        <x:v>0</x:v>
      </x:c>
      <x:c r="P51" s="56" t="n">
        <x:f>IF(OR(D51="休",D51="有",D51="明"),0,IF(D51="統",IF('職員マスター'!M50="可",0,1),IF(ISNUMBER(SEARCH("・"&amp;D51&amp;"・","・"&amp;'職員マスター'!N50&amp;"・")),0,1)))+IF(OR(E51="休",E51="有",E51="明"),0,IF(E51="統",IF('職員マスター'!M50="可",0,1),IF(ISNUMBER(SEARCH("・"&amp;E51&amp;"・","・"&amp;'職員マスター'!N50&amp;"・")),0,1)))+IF(OR(F51="休",F51="有",F51="明"),0,IF(F51="統",IF('職員マスター'!M50="可",0,1),IF(ISNUMBER(SEARCH("・"&amp;F51&amp;"・","・"&amp;'職員マスター'!N50&amp;"・")),0,1)))+IF(OR(G51="休",G51="有",G51="明"),0,IF(G51="統",IF('職員マスター'!M50="可",0,1),IF(ISNUMBER(SEARCH("・"&amp;G51&amp;"・","・"&amp;'職員マスター'!N50&amp;"・")),0,1)))+IF(OR(H51="休",H51="有",H51="明"),0,IF(H51="統",IF('職員マスター'!M50="可",0,1),IF(ISNUMBER(SEARCH("・"&amp;H51&amp;"・","・"&amp;'職員マスター'!N50&amp;"・")),0,1)))+IF(OR(I51="休",I51="有",I51="明"),0,IF(I51="統",IF('職員マスター'!M50="可",0,1),IF(ISNUMBER(SEARCH("・"&amp;I51&amp;"・","・"&amp;'職員マスター'!N50&amp;"・")),0,1)))+IF(OR(J51="休",J51="有",J51="明"),0,IF(J51="統",IF('職員マスター'!M50="可",0,1),IF(ISNUMBER(SEARCH("・"&amp;J51&amp;"・","・"&amp;'職員マスター'!N50&amp;"・")),0,1)))</x:f>
        <x:v>0</x:v>
      </x:c>
      <x:c r="Q51" s="56" t="n">
        <x:f>IF(OR(C51="夜",C51="統"),IF(D51="明",0,1),IF(D51="明",1,0))+IF(OR(D51="夜",D51="統"),IF(E51="明",0,1),IF(E51="明",1,0))+IF(OR(E51="夜",E51="統"),IF(F51="明",0,1),IF(F51="明",1,0))+IF(OR(F51="夜",F51="統"),IF(G51="明",0,1),IF(G51="明",1,0))+IF(OR(G51="夜",G51="統"),IF(H51="明",0,1),IF(H51="明",1,0))+IF(OR(H51="夜",H51="統"),IF(I51="明",0,1),IF(I51="明",1,0))+IF(OR(I51="夜",I51="統"),IF(J51="明",0,1),IF(J51="明",1,0))</x:f>
        <x:v>0</x:v>
      </x:c>
    </x:row>
    <x:row r="52" ht="26" customHeight="1">
      <x:c r="A52" s="56" t="str">
        <x:v>2F-22</x:v>
      </x:c>
      <x:c r="B52" s="56" t="str">
        <x:v>2F</x:v>
      </x:c>
      <x:c r="C52" s="80" t="str">
        <x:v>休</x:v>
      </x:c>
      <x:c r="D52" s="80" t="str">
        <x:v>休</x:v>
      </x:c>
      <x:c r="E52" s="80" t="str">
        <x:v>後</x:v>
      </x:c>
      <x:c r="F52" s="80" t="str">
        <x:v>休</x:v>
      </x:c>
      <x:c r="G52" s="80" t="str">
        <x:v>休</x:v>
      </x:c>
      <x:c r="H52" s="80" t="str">
        <x:v>後</x:v>
      </x:c>
      <x:c r="I52" s="80" t="str">
        <x:v>休</x:v>
      </x:c>
      <x:c r="J52" s="80" t="str">
        <x:v>休</x:v>
      </x:c>
      <x:c r="K52" s="80" t="str">
        <x:v>休</x:v>
      </x:c>
      <x:c r="L52" s="72" t="n">
        <x:f>COUNTIFS(D52:J52,"早")*'勤務区分'!$G$6+COUNTIFS(D52:J52,"遅")*'勤務区分'!$G$7+COUNTIFS(D52:J52,"日")*'勤務区分'!$G$8+COUNTIFS(D52:J52,"午")*'勤務区分'!$G$9+COUNTIFS(D52:J52,"後")*'勤務区分'!$G$10+COUNTIFS(D52:J52,"短A")*'勤務区分'!$G$11+COUNTIFS(D52:J52,"短B")*'勤務区分'!$G$12+(COUNTIFS(D52:J52,"夜")+COUNTIFS(D52:J52,"統"))*'勤務区分'!$G$13</x:f>
        <x:v>7.999999999999998</x:v>
      </x:c>
      <x:c r="M52" s="72" t="n">
        <x:f>'職員マスター'!O51</x:f>
        <x:v>12</x:v>
      </x:c>
      <x:c r="N52" s="72" t="n">
        <x:f>MAX(0,L52-M52)</x:f>
        <x:v>0</x:v>
      </x:c>
      <x:c r="O52" s="56" t="n">
        <x:f>IF('職員マスター'!F51="不可",COUNTIFS(D52:J52,"夜")+COUNTIFS(D52:J52,"統"),0)</x:f>
        <x:v>0</x:v>
      </x:c>
      <x:c r="P52" s="56" t="n">
        <x:f>IF(OR(D52="休",D52="有",D52="明"),0,IF(D52="統",IF('職員マスター'!M51="可",0,1),IF(ISNUMBER(SEARCH("・"&amp;D52&amp;"・","・"&amp;'職員マスター'!N51&amp;"・")),0,1)))+IF(OR(E52="休",E52="有",E52="明"),0,IF(E52="統",IF('職員マスター'!M51="可",0,1),IF(ISNUMBER(SEARCH("・"&amp;E52&amp;"・","・"&amp;'職員マスター'!N51&amp;"・")),0,1)))+IF(OR(F52="休",F52="有",F52="明"),0,IF(F52="統",IF('職員マスター'!M51="可",0,1),IF(ISNUMBER(SEARCH("・"&amp;F52&amp;"・","・"&amp;'職員マスター'!N51&amp;"・")),0,1)))+IF(OR(G52="休",G52="有",G52="明"),0,IF(G52="統",IF('職員マスター'!M51="可",0,1),IF(ISNUMBER(SEARCH("・"&amp;G52&amp;"・","・"&amp;'職員マスター'!N51&amp;"・")),0,1)))+IF(OR(H52="休",H52="有",H52="明"),0,IF(H52="統",IF('職員マスター'!M51="可",0,1),IF(ISNUMBER(SEARCH("・"&amp;H52&amp;"・","・"&amp;'職員マスター'!N51&amp;"・")),0,1)))+IF(OR(I52="休",I52="有",I52="明"),0,IF(I52="統",IF('職員マスター'!M51="可",0,1),IF(ISNUMBER(SEARCH("・"&amp;I52&amp;"・","・"&amp;'職員マスター'!N51&amp;"・")),0,1)))+IF(OR(J52="休",J52="有",J52="明"),0,IF(J52="統",IF('職員マスター'!M51="可",0,1),IF(ISNUMBER(SEARCH("・"&amp;J52&amp;"・","・"&amp;'職員マスター'!N51&amp;"・")),0,1)))</x:f>
        <x:v>0</x:v>
      </x:c>
      <x:c r="Q52" s="56" t="n">
        <x:f>IF(OR(C52="夜",C52="統"),IF(D52="明",0,1),IF(D52="明",1,0))+IF(OR(D52="夜",D52="統"),IF(E52="明",0,1),IF(E52="明",1,0))+IF(OR(E52="夜",E52="統"),IF(F52="明",0,1),IF(F52="明",1,0))+IF(OR(F52="夜",F52="統"),IF(G52="明",0,1),IF(G52="明",1,0))+IF(OR(G52="夜",G52="統"),IF(H52="明",0,1),IF(H52="明",1,0))+IF(OR(H52="夜",H52="統"),IF(I52="明",0,1),IF(I52="明",1,0))+IF(OR(I52="夜",I52="統"),IF(J52="明",0,1),IF(J52="明",1,0))</x:f>
        <x:v>0</x:v>
      </x:c>
    </x:row>
    <x:row r="53" ht="26" customHeight="1">
      <x:c r="A53" s="56" t="str">
        <x:v>2F-23</x:v>
      </x:c>
      <x:c r="B53" s="56" t="str">
        <x:v>2F</x:v>
      </x:c>
      <x:c r="C53" s="80" t="str">
        <x:v>休</x:v>
      </x:c>
      <x:c r="D53" s="80" t="str">
        <x:v>短A</x:v>
      </x:c>
      <x:c r="E53" s="80" t="str">
        <x:v>休</x:v>
      </x:c>
      <x:c r="F53" s="80" t="str">
        <x:v>休</x:v>
      </x:c>
      <x:c r="G53" s="80" t="str">
        <x:v>短A</x:v>
      </x:c>
      <x:c r="H53" s="80" t="str">
        <x:v>休</x:v>
      </x:c>
      <x:c r="I53" s="80" t="str">
        <x:v>休</x:v>
      </x:c>
      <x:c r="J53" s="80" t="str">
        <x:v>短A</x:v>
      </x:c>
      <x:c r="K53" s="80" t="str">
        <x:v>休</x:v>
      </x:c>
      <x:c r="L53" s="72" t="n">
        <x:f>COUNTIFS(D53:J53,"早")*'勤務区分'!$G$6+COUNTIFS(D53:J53,"遅")*'勤務区分'!$G$7+COUNTIFS(D53:J53,"日")*'勤務区分'!$G$8+COUNTIFS(D53:J53,"午")*'勤務区分'!$G$9+COUNTIFS(D53:J53,"後")*'勤務区分'!$G$10+COUNTIFS(D53:J53,"短A")*'勤務区分'!$G$11+COUNTIFS(D53:J53,"短B")*'勤務区分'!$G$12+(COUNTIFS(D53:J53,"夜")+COUNTIFS(D53:J53,"統"))*'勤務区分'!$G$13</x:f>
        <x:v>9.000000000000007</x:v>
      </x:c>
      <x:c r="M53" s="72" t="n">
        <x:f>'職員マスター'!O52</x:f>
        <x:v>9</x:v>
      </x:c>
      <x:c r="N53" s="72" t="n">
        <x:f>MAX(0,L53-M53)</x:f>
        <x:v>7.105427357601002e-15</x:v>
      </x:c>
      <x:c r="O53" s="56" t="n">
        <x:f>IF('職員マスター'!F52="不可",COUNTIFS(D53:J53,"夜")+COUNTIFS(D53:J53,"統"),0)</x:f>
        <x:v>0</x:v>
      </x:c>
      <x:c r="P53" s="56" t="n">
        <x:f>IF(OR(D53="休",D53="有",D53="明"),0,IF(D53="統",IF('職員マスター'!M52="可",0,1),IF(ISNUMBER(SEARCH("・"&amp;D53&amp;"・","・"&amp;'職員マスター'!N52&amp;"・")),0,1)))+IF(OR(E53="休",E53="有",E53="明"),0,IF(E53="統",IF('職員マスター'!M52="可",0,1),IF(ISNUMBER(SEARCH("・"&amp;E53&amp;"・","・"&amp;'職員マスター'!N52&amp;"・")),0,1)))+IF(OR(F53="休",F53="有",F53="明"),0,IF(F53="統",IF('職員マスター'!M52="可",0,1),IF(ISNUMBER(SEARCH("・"&amp;F53&amp;"・","・"&amp;'職員マスター'!N52&amp;"・")),0,1)))+IF(OR(G53="休",G53="有",G53="明"),0,IF(G53="統",IF('職員マスター'!M52="可",0,1),IF(ISNUMBER(SEARCH("・"&amp;G53&amp;"・","・"&amp;'職員マスター'!N52&amp;"・")),0,1)))+IF(OR(H53="休",H53="有",H53="明"),0,IF(H53="統",IF('職員マスター'!M52="可",0,1),IF(ISNUMBER(SEARCH("・"&amp;H53&amp;"・","・"&amp;'職員マスター'!N52&amp;"・")),0,1)))+IF(OR(I53="休",I53="有",I53="明"),0,IF(I53="統",IF('職員マスター'!M52="可",0,1),IF(ISNUMBER(SEARCH("・"&amp;I53&amp;"・","・"&amp;'職員マスター'!N52&amp;"・")),0,1)))+IF(OR(J53="休",J53="有",J53="明"),0,IF(J53="統",IF('職員マスター'!M52="可",0,1),IF(ISNUMBER(SEARCH("・"&amp;J53&amp;"・","・"&amp;'職員マスター'!N52&amp;"・")),0,1)))</x:f>
        <x:v>0</x:v>
      </x:c>
      <x:c r="Q53" s="56" t="n">
        <x:f>IF(OR(C53="夜",C53="統"),IF(D53="明",0,1),IF(D53="明",1,0))+IF(OR(D53="夜",D53="統"),IF(E53="明",0,1),IF(E53="明",1,0))+IF(OR(E53="夜",E53="統"),IF(F53="明",0,1),IF(F53="明",1,0))+IF(OR(F53="夜",F53="統"),IF(G53="明",0,1),IF(G53="明",1,0))+IF(OR(G53="夜",G53="統"),IF(H53="明",0,1),IF(H53="明",1,0))+IF(OR(H53="夜",H53="統"),IF(I53="明",0,1),IF(I53="明",1,0))+IF(OR(I53="夜",I53="統"),IF(J53="明",0,1),IF(J53="明",1,0))</x:f>
        <x:v>0</x:v>
      </x:c>
    </x:row>
    <x:row r="54" ht="26" customHeight="1">
      <x:c r="A54" s="56" t="str">
        <x:v>2F-24</x:v>
      </x:c>
      <x:c r="B54" s="56" t="str">
        <x:v>2F</x:v>
      </x:c>
      <x:c r="C54" s="80" t="str">
        <x:v>短B</x:v>
      </x:c>
      <x:c r="D54" s="80" t="str">
        <x:v>休</x:v>
      </x:c>
      <x:c r="E54" s="80" t="str">
        <x:v>休</x:v>
      </x:c>
      <x:c r="F54" s="80" t="str">
        <x:v>短B</x:v>
      </x:c>
      <x:c r="G54" s="80" t="str">
        <x:v>休</x:v>
      </x:c>
      <x:c r="H54" s="80" t="str">
        <x:v>休</x:v>
      </x:c>
      <x:c r="I54" s="80" t="str">
        <x:v>短B</x:v>
      </x:c>
      <x:c r="J54" s="80" t="str">
        <x:v>休</x:v>
      </x:c>
      <x:c r="K54" s="80" t="str">
        <x:v>休</x:v>
      </x:c>
      <x:c r="L54" s="72" t="n">
        <x:f>COUNTIFS(D54:J54,"早")*'勤務区分'!$G$6+COUNTIFS(D54:J54,"遅")*'勤務区分'!$G$7+COUNTIFS(D54:J54,"日")*'勤務区分'!$G$8+COUNTIFS(D54:J54,"午")*'勤務区分'!$G$9+COUNTIFS(D54:J54,"後")*'勤務区分'!$G$10+COUNTIFS(D54:J54,"短A")*'勤務区分'!$G$11+COUNTIFS(D54:J54,"短B")*'勤務区分'!$G$12+(COUNTIFS(D54:J54,"夜")+COUNTIFS(D54:J54,"統"))*'勤務区分'!$G$13</x:f>
        <x:v>6</x:v>
      </x:c>
      <x:c r="M54" s="72" t="n">
        <x:f>'職員マスター'!O53</x:f>
        <x:v>9</x:v>
      </x:c>
      <x:c r="N54" s="72" t="n">
        <x:f>MAX(0,L54-M54)</x:f>
        <x:v>0</x:v>
      </x:c>
      <x:c r="O54" s="56" t="n">
        <x:f>IF('職員マスター'!F53="不可",COUNTIFS(D54:J54,"夜")+COUNTIFS(D54:J54,"統"),0)</x:f>
        <x:v>0</x:v>
      </x:c>
      <x:c r="P54" s="56" t="n">
        <x:f>IF(OR(D54="休",D54="有",D54="明"),0,IF(D54="統",IF('職員マスター'!M53="可",0,1),IF(ISNUMBER(SEARCH("・"&amp;D54&amp;"・","・"&amp;'職員マスター'!N53&amp;"・")),0,1)))+IF(OR(E54="休",E54="有",E54="明"),0,IF(E54="統",IF('職員マスター'!M53="可",0,1),IF(ISNUMBER(SEARCH("・"&amp;E54&amp;"・","・"&amp;'職員マスター'!N53&amp;"・")),0,1)))+IF(OR(F54="休",F54="有",F54="明"),0,IF(F54="統",IF('職員マスター'!M53="可",0,1),IF(ISNUMBER(SEARCH("・"&amp;F54&amp;"・","・"&amp;'職員マスター'!N53&amp;"・")),0,1)))+IF(OR(G54="休",G54="有",G54="明"),0,IF(G54="統",IF('職員マスター'!M53="可",0,1),IF(ISNUMBER(SEARCH("・"&amp;G54&amp;"・","・"&amp;'職員マスター'!N53&amp;"・")),0,1)))+IF(OR(H54="休",H54="有",H54="明"),0,IF(H54="統",IF('職員マスター'!M53="可",0,1),IF(ISNUMBER(SEARCH("・"&amp;H54&amp;"・","・"&amp;'職員マスター'!N53&amp;"・")),0,1)))+IF(OR(I54="休",I54="有",I54="明"),0,IF(I54="統",IF('職員マスター'!M53="可",0,1),IF(ISNUMBER(SEARCH("・"&amp;I54&amp;"・","・"&amp;'職員マスター'!N53&amp;"・")),0,1)))+IF(OR(J54="休",J54="有",J54="明"),0,IF(J54="統",IF('職員マスター'!M53="可",0,1),IF(ISNUMBER(SEARCH("・"&amp;J54&amp;"・","・"&amp;'職員マスター'!N53&amp;"・")),0,1)))</x:f>
        <x:v>0</x:v>
      </x:c>
      <x:c r="Q54" s="56" t="n">
        <x:f>IF(OR(C54="夜",C54="統"),IF(D54="明",0,1),IF(D54="明",1,0))+IF(OR(D54="夜",D54="統"),IF(E54="明",0,1),IF(E54="明",1,0))+IF(OR(E54="夜",E54="統"),IF(F54="明",0,1),IF(F54="明",1,0))+IF(OR(F54="夜",F54="統"),IF(G54="明",0,1),IF(G54="明",1,0))+IF(OR(G54="夜",G54="統"),IF(H54="明",0,1),IF(H54="明",1,0))+IF(OR(H54="夜",H54="統"),IF(I54="明",0,1),IF(I54="明",1,0))+IF(OR(I54="夜",I54="統"),IF(J54="明",0,1),IF(J54="明",1,0))</x:f>
        <x:v>0</x:v>
      </x:c>
    </x:row>
    <x:row r="55" ht="26" customHeight="1">
      <x:c r="A55" s="56" t="str">
        <x:v>3F-01</x:v>
      </x:c>
      <x:c r="B55" s="56" t="str">
        <x:v>3F</x:v>
      </x:c>
      <x:c r="C55" s="80" t="str">
        <x:v>夜</x:v>
      </x:c>
      <x:c r="D55" s="80" t="str">
        <x:v>明</x:v>
      </x:c>
      <x:c r="E55" s="80" t="str">
        <x:v>早</x:v>
      </x:c>
      <x:c r="F55" s="80" t="str">
        <x:v>早</x:v>
      </x:c>
      <x:c r="G55" s="80" t="str">
        <x:v>遅</x:v>
      </x:c>
      <x:c r="H55" s="80" t="str">
        <x:v>休</x:v>
      </x:c>
      <x:c r="I55" s="80" t="str">
        <x:v>早</x:v>
      </x:c>
      <x:c r="J55" s="80" t="str">
        <x:v>統</x:v>
      </x:c>
      <x:c r="K55" s="80" t="str">
        <x:v>明</x:v>
      </x:c>
      <x:c r="L55" s="72" t="n">
        <x:f>COUNTIFS(D55:J55,"早")*'勤務区分'!$G$6+COUNTIFS(D55:J55,"遅")*'勤務区分'!$G$7+COUNTIFS(D55:J55,"日")*'勤務区分'!$G$8+COUNTIFS(D55:J55,"午")*'勤務区分'!$G$9+COUNTIFS(D55:J55,"後")*'勤務区分'!$G$10+COUNTIFS(D55:J55,"短A")*'勤務区分'!$G$11+COUNTIFS(D55:J55,"短B")*'勤務区分'!$G$12+(COUNTIFS(D55:J55,"夜")+COUNTIFS(D55:J55,"統"))*'勤務区分'!$G$13</x:f>
        <x:v>45.99999999999999</x:v>
      </x:c>
      <x:c r="M55" s="72" t="n">
        <x:f>'職員マスター'!O54</x:f>
        <x:v>40</x:v>
      </x:c>
      <x:c r="N55" s="72" t="n">
        <x:f>MAX(0,L55-M55)</x:f>
        <x:v>5.999999999999993</x:v>
      </x:c>
      <x:c r="O55" s="56" t="n">
        <x:f>IF('職員マスター'!F54="不可",COUNTIFS(D55:J55,"夜")+COUNTIFS(D55:J55,"統"),0)</x:f>
        <x:v>0</x:v>
      </x:c>
      <x:c r="P55" s="56" t="n">
        <x:f>IF(OR(D55="休",D55="有",D55="明"),0,IF(D55="統",IF('職員マスター'!M54="可",0,1),IF(ISNUMBER(SEARCH("・"&amp;D55&amp;"・","・"&amp;'職員マスター'!N54&amp;"・")),0,1)))+IF(OR(E55="休",E55="有",E55="明"),0,IF(E55="統",IF('職員マスター'!M54="可",0,1),IF(ISNUMBER(SEARCH("・"&amp;E55&amp;"・","・"&amp;'職員マスター'!N54&amp;"・")),0,1)))+IF(OR(F55="休",F55="有",F55="明"),0,IF(F55="統",IF('職員マスター'!M54="可",0,1),IF(ISNUMBER(SEARCH("・"&amp;F55&amp;"・","・"&amp;'職員マスター'!N54&amp;"・")),0,1)))+IF(OR(G55="休",G55="有",G55="明"),0,IF(G55="統",IF('職員マスター'!M54="可",0,1),IF(ISNUMBER(SEARCH("・"&amp;G55&amp;"・","・"&amp;'職員マスター'!N54&amp;"・")),0,1)))+IF(OR(H55="休",H55="有",H55="明"),0,IF(H55="統",IF('職員マスター'!M54="可",0,1),IF(ISNUMBER(SEARCH("・"&amp;H55&amp;"・","・"&amp;'職員マスター'!N54&amp;"・")),0,1)))+IF(OR(I55="休",I55="有",I55="明"),0,IF(I55="統",IF('職員マスター'!M54="可",0,1),IF(ISNUMBER(SEARCH("・"&amp;I55&amp;"・","・"&amp;'職員マスター'!N54&amp;"・")),0,1)))+IF(OR(J55="休",J55="有",J55="明"),0,IF(J55="統",IF('職員マスター'!M54="可",0,1),IF(ISNUMBER(SEARCH("・"&amp;J55&amp;"・","・"&amp;'職員マスター'!N54&amp;"・")),0,1)))</x:f>
        <x:v>0</x:v>
      </x:c>
      <x:c r="Q55" s="56" t="n">
        <x:f>IF(OR(C55="夜",C55="統"),IF(D55="明",0,1),IF(D55="明",1,0))+IF(OR(D55="夜",D55="統"),IF(E55="明",0,1),IF(E55="明",1,0))+IF(OR(E55="夜",E55="統"),IF(F55="明",0,1),IF(F55="明",1,0))+IF(OR(F55="夜",F55="統"),IF(G55="明",0,1),IF(G55="明",1,0))+IF(OR(G55="夜",G55="統"),IF(H55="明",0,1),IF(H55="明",1,0))+IF(OR(H55="夜",H55="統"),IF(I55="明",0,1),IF(I55="明",1,0))+IF(OR(I55="夜",I55="統"),IF(J55="明",0,1),IF(J55="明",1,0))</x:f>
        <x:v>0</x:v>
      </x:c>
    </x:row>
    <x:row r="56" ht="26" customHeight="1">
      <x:c r="A56" s="56" t="str">
        <x:v>3F-02</x:v>
      </x:c>
      <x:c r="B56" s="56" t="str">
        <x:v>3F</x:v>
      </x:c>
      <x:c r="C56" s="80" t="str">
        <x:v>夜</x:v>
      </x:c>
      <x:c r="D56" s="80" t="str">
        <x:v>明</x:v>
      </x:c>
      <x:c r="E56" s="80" t="str">
        <x:v>早</x:v>
      </x:c>
      <x:c r="F56" s="80" t="str">
        <x:v>早</x:v>
      </x:c>
      <x:c r="G56" s="80" t="str">
        <x:v>遅</x:v>
      </x:c>
      <x:c r="H56" s="80" t="str">
        <x:v>休</x:v>
      </x:c>
      <x:c r="I56" s="80" t="str">
        <x:v>遅</x:v>
      </x:c>
      <x:c r="J56" s="80" t="str">
        <x:v>統</x:v>
      </x:c>
      <x:c r="K56" s="80" t="str">
        <x:v>明</x:v>
      </x:c>
      <x:c r="L56" s="72" t="n">
        <x:f>COUNTIFS(D56:J56,"早")*'勤務区分'!$G$6+COUNTIFS(D56:J56,"遅")*'勤務区分'!$G$7+COUNTIFS(D56:J56,"日")*'勤務区分'!$G$8+COUNTIFS(D56:J56,"午")*'勤務区分'!$G$9+COUNTIFS(D56:J56,"後")*'勤務区分'!$G$10+COUNTIFS(D56:J56,"短A")*'勤務区分'!$G$11+COUNTIFS(D56:J56,"短B")*'勤務区分'!$G$12+(COUNTIFS(D56:J56,"夜")+COUNTIFS(D56:J56,"統"))*'勤務区分'!$G$13</x:f>
        <x:v>45.99999999999999</x:v>
      </x:c>
      <x:c r="M56" s="72" t="n">
        <x:f>'職員マスター'!O55</x:f>
        <x:v>40</x:v>
      </x:c>
      <x:c r="N56" s="72" t="n">
        <x:f>MAX(0,L56-M56)</x:f>
        <x:v>5.999999999999993</x:v>
      </x:c>
      <x:c r="O56" s="56" t="n">
        <x:f>IF('職員マスター'!F55="不可",COUNTIFS(D56:J56,"夜")+COUNTIFS(D56:J56,"統"),0)</x:f>
        <x:v>0</x:v>
      </x:c>
      <x:c r="P56" s="56" t="n">
        <x:f>IF(OR(D56="休",D56="有",D56="明"),0,IF(D56="統",IF('職員マスター'!M55="可",0,1),IF(ISNUMBER(SEARCH("・"&amp;D56&amp;"・","・"&amp;'職員マスター'!N55&amp;"・")),0,1)))+IF(OR(E56="休",E56="有",E56="明"),0,IF(E56="統",IF('職員マスター'!M55="可",0,1),IF(ISNUMBER(SEARCH("・"&amp;E56&amp;"・","・"&amp;'職員マスター'!N55&amp;"・")),0,1)))+IF(OR(F56="休",F56="有",F56="明"),0,IF(F56="統",IF('職員マスター'!M55="可",0,1),IF(ISNUMBER(SEARCH("・"&amp;F56&amp;"・","・"&amp;'職員マスター'!N55&amp;"・")),0,1)))+IF(OR(G56="休",G56="有",G56="明"),0,IF(G56="統",IF('職員マスター'!M55="可",0,1),IF(ISNUMBER(SEARCH("・"&amp;G56&amp;"・","・"&amp;'職員マスター'!N55&amp;"・")),0,1)))+IF(OR(H56="休",H56="有",H56="明"),0,IF(H56="統",IF('職員マスター'!M55="可",0,1),IF(ISNUMBER(SEARCH("・"&amp;H56&amp;"・","・"&amp;'職員マスター'!N55&amp;"・")),0,1)))+IF(OR(I56="休",I56="有",I56="明"),0,IF(I56="統",IF('職員マスター'!M55="可",0,1),IF(ISNUMBER(SEARCH("・"&amp;I56&amp;"・","・"&amp;'職員マスター'!N55&amp;"・")),0,1)))+IF(OR(J56="休",J56="有",J56="明"),0,IF(J56="統",IF('職員マスター'!M55="可",0,1),IF(ISNUMBER(SEARCH("・"&amp;J56&amp;"・","・"&amp;'職員マスター'!N55&amp;"・")),0,1)))</x:f>
        <x:v>0</x:v>
      </x:c>
      <x:c r="Q56" s="56" t="n">
        <x:f>IF(OR(C56="夜",C56="統"),IF(D56="明",0,1),IF(D56="明",1,0))+IF(OR(D56="夜",D56="統"),IF(E56="明",0,1),IF(E56="明",1,0))+IF(OR(E56="夜",E56="統"),IF(F56="明",0,1),IF(F56="明",1,0))+IF(OR(F56="夜",F56="統"),IF(G56="明",0,1),IF(G56="明",1,0))+IF(OR(G56="夜",G56="統"),IF(H56="明",0,1),IF(H56="明",1,0))+IF(OR(H56="夜",H56="統"),IF(I56="明",0,1),IF(I56="明",1,0))+IF(OR(I56="夜",I56="統"),IF(J56="明",0,1),IF(J56="明",1,0))</x:f>
        <x:v>0</x:v>
      </x:c>
    </x:row>
    <x:row r="57" ht="26" customHeight="1">
      <x:c r="A57" s="56" t="str">
        <x:v>3F-03</x:v>
      </x:c>
      <x:c r="B57" s="56" t="str">
        <x:v>3F</x:v>
      </x:c>
      <x:c r="C57" s="80" t="str">
        <x:v>休</x:v>
      </x:c>
      <x:c r="D57" s="80" t="str">
        <x:v>夜</x:v>
      </x:c>
      <x:c r="E57" s="80" t="str">
        <x:v>明</x:v>
      </x:c>
      <x:c r="F57" s="80" t="str">
        <x:v>早</x:v>
      </x:c>
      <x:c r="G57" s="80" t="str">
        <x:v>早</x:v>
      </x:c>
      <x:c r="H57" s="80" t="str">
        <x:v>早</x:v>
      </x:c>
      <x:c r="I57" s="80" t="str">
        <x:v>遅</x:v>
      </x:c>
      <x:c r="J57" s="80" t="str">
        <x:v>休</x:v>
      </x:c>
      <x:c r="K57" s="80" t="str">
        <x:v>夜</x:v>
      </x:c>
      <x:c r="L57" s="72" t="n">
        <x:f>COUNTIFS(D57:J57,"早")*'勤務区分'!$G$6+COUNTIFS(D57:J57,"遅")*'勤務区分'!$G$7+COUNTIFS(D57:J57,"日")*'勤務区分'!$G$8+COUNTIFS(D57:J57,"午")*'勤務区分'!$G$9+COUNTIFS(D57:J57,"後")*'勤務区分'!$G$10+COUNTIFS(D57:J57,"短A")*'勤務区分'!$G$11+COUNTIFS(D57:J57,"短B")*'勤務区分'!$G$12+(COUNTIFS(D57:J57,"夜")+COUNTIFS(D57:J57,"統"))*'勤務区分'!$G$13</x:f>
        <x:v>45.99999999999999</x:v>
      </x:c>
      <x:c r="M57" s="72" t="n">
        <x:f>'職員マスター'!O56</x:f>
        <x:v>40</x:v>
      </x:c>
      <x:c r="N57" s="72" t="n">
        <x:f>MAX(0,L57-M57)</x:f>
        <x:v>5.999999999999993</x:v>
      </x:c>
      <x:c r="O57" s="56" t="n">
        <x:f>IF('職員マスター'!F56="不可",COUNTIFS(D57:J57,"夜")+COUNTIFS(D57:J57,"統"),0)</x:f>
        <x:v>0</x:v>
      </x:c>
      <x:c r="P57" s="56" t="n">
        <x:f>IF(OR(D57="休",D57="有",D57="明"),0,IF(D57="統",IF('職員マスター'!M56="可",0,1),IF(ISNUMBER(SEARCH("・"&amp;D57&amp;"・","・"&amp;'職員マスター'!N56&amp;"・")),0,1)))+IF(OR(E57="休",E57="有",E57="明"),0,IF(E57="統",IF('職員マスター'!M56="可",0,1),IF(ISNUMBER(SEARCH("・"&amp;E57&amp;"・","・"&amp;'職員マスター'!N56&amp;"・")),0,1)))+IF(OR(F57="休",F57="有",F57="明"),0,IF(F57="統",IF('職員マスター'!M56="可",0,1),IF(ISNUMBER(SEARCH("・"&amp;F57&amp;"・","・"&amp;'職員マスター'!N56&amp;"・")),0,1)))+IF(OR(G57="休",G57="有",G57="明"),0,IF(G57="統",IF('職員マスター'!M56="可",0,1),IF(ISNUMBER(SEARCH("・"&amp;G57&amp;"・","・"&amp;'職員マスター'!N56&amp;"・")),0,1)))+IF(OR(H57="休",H57="有",H57="明"),0,IF(H57="統",IF('職員マスター'!M56="可",0,1),IF(ISNUMBER(SEARCH("・"&amp;H57&amp;"・","・"&amp;'職員マスター'!N56&amp;"・")),0,1)))+IF(OR(I57="休",I57="有",I57="明"),0,IF(I57="統",IF('職員マスター'!M56="可",0,1),IF(ISNUMBER(SEARCH("・"&amp;I57&amp;"・","・"&amp;'職員マスター'!N56&amp;"・")),0,1)))+IF(OR(J57="休",J57="有",J57="明"),0,IF(J57="統",IF('職員マスター'!M56="可",0,1),IF(ISNUMBER(SEARCH("・"&amp;J57&amp;"・","・"&amp;'職員マスター'!N56&amp;"・")),0,1)))</x:f>
        <x:v>0</x:v>
      </x:c>
      <x:c r="Q57" s="56" t="n">
        <x:f>IF(OR(C57="夜",C57="統"),IF(D57="明",0,1),IF(D57="明",1,0))+IF(OR(D57="夜",D57="統"),IF(E57="明",0,1),IF(E57="明",1,0))+IF(OR(E57="夜",E57="統"),IF(F57="明",0,1),IF(F57="明",1,0))+IF(OR(F57="夜",F57="統"),IF(G57="明",0,1),IF(G57="明",1,0))+IF(OR(G57="夜",G57="統"),IF(H57="明",0,1),IF(H57="明",1,0))+IF(OR(H57="夜",H57="統"),IF(I57="明",0,1),IF(I57="明",1,0))+IF(OR(I57="夜",I57="統"),IF(J57="明",0,1),IF(J57="明",1,0))</x:f>
        <x:v>0</x:v>
      </x:c>
    </x:row>
    <x:row r="58" ht="26" customHeight="1">
      <x:c r="A58" s="56" t="str">
        <x:v>3F-04</x:v>
      </x:c>
      <x:c r="B58" s="56" t="str">
        <x:v>3F</x:v>
      </x:c>
      <x:c r="C58" s="80" t="str">
        <x:v>休</x:v>
      </x:c>
      <x:c r="D58" s="80" t="str">
        <x:v>夜</x:v>
      </x:c>
      <x:c r="E58" s="80" t="str">
        <x:v>明</x:v>
      </x:c>
      <x:c r="F58" s="80" t="str">
        <x:v>早</x:v>
      </x:c>
      <x:c r="G58" s="80" t="str">
        <x:v>早</x:v>
      </x:c>
      <x:c r="H58" s="80" t="str">
        <x:v>早</x:v>
      </x:c>
      <x:c r="I58" s="80" t="str">
        <x:v>遅</x:v>
      </x:c>
      <x:c r="J58" s="80" t="str">
        <x:v>夜</x:v>
      </x:c>
      <x:c r="K58" s="80" t="str">
        <x:v>明</x:v>
      </x:c>
      <x:c r="L58" s="72" t="n">
        <x:f>COUNTIFS(D58:J58,"早")*'勤務区分'!$G$6+COUNTIFS(D58:J58,"遅")*'勤務区分'!$G$7+COUNTIFS(D58:J58,"日")*'勤務区分'!$G$8+COUNTIFS(D58:J58,"午")*'勤務区分'!$G$9+COUNTIFS(D58:J58,"後")*'勤務区分'!$G$10+COUNTIFS(D58:J58,"短A")*'勤務区分'!$G$11+COUNTIFS(D58:J58,"短B")*'勤務区分'!$G$12+(COUNTIFS(D58:J58,"夜")+COUNTIFS(D58:J58,"統"))*'勤務区分'!$G$13</x:f>
        <x:v>59.99999999999999</x:v>
      </x:c>
      <x:c r="M58" s="72" t="n">
        <x:f>'職員マスター'!O57</x:f>
        <x:v>40</x:v>
      </x:c>
      <x:c r="N58" s="72" t="n">
        <x:f>MAX(0,L58-M58)</x:f>
        <x:v>19.999999999999993</x:v>
      </x:c>
      <x:c r="O58" s="56" t="n">
        <x:f>IF('職員マスター'!F57="不可",COUNTIFS(D58:J58,"夜")+COUNTIFS(D58:J58,"統"),0)</x:f>
        <x:v>0</x:v>
      </x:c>
      <x:c r="P58" s="56" t="n">
        <x:f>IF(OR(D58="休",D58="有",D58="明"),0,IF(D58="統",IF('職員マスター'!M57="可",0,1),IF(ISNUMBER(SEARCH("・"&amp;D58&amp;"・","・"&amp;'職員マスター'!N57&amp;"・")),0,1)))+IF(OR(E58="休",E58="有",E58="明"),0,IF(E58="統",IF('職員マスター'!M57="可",0,1),IF(ISNUMBER(SEARCH("・"&amp;E58&amp;"・","・"&amp;'職員マスター'!N57&amp;"・")),0,1)))+IF(OR(F58="休",F58="有",F58="明"),0,IF(F58="統",IF('職員マスター'!M57="可",0,1),IF(ISNUMBER(SEARCH("・"&amp;F58&amp;"・","・"&amp;'職員マスター'!N57&amp;"・")),0,1)))+IF(OR(G58="休",G58="有",G58="明"),0,IF(G58="統",IF('職員マスター'!M57="可",0,1),IF(ISNUMBER(SEARCH("・"&amp;G58&amp;"・","・"&amp;'職員マスター'!N57&amp;"・")),0,1)))+IF(OR(H58="休",H58="有",H58="明"),0,IF(H58="統",IF('職員マスター'!M57="可",0,1),IF(ISNUMBER(SEARCH("・"&amp;H58&amp;"・","・"&amp;'職員マスター'!N57&amp;"・")),0,1)))+IF(OR(I58="休",I58="有",I58="明"),0,IF(I58="統",IF('職員マスター'!M57="可",0,1),IF(ISNUMBER(SEARCH("・"&amp;I58&amp;"・","・"&amp;'職員マスター'!N57&amp;"・")),0,1)))+IF(OR(J58="休",J58="有",J58="明"),0,IF(J58="統",IF('職員マスター'!M57="可",0,1),IF(ISNUMBER(SEARCH("・"&amp;J58&amp;"・","・"&amp;'職員マスター'!N57&amp;"・")),0,1)))</x:f>
        <x:v>0</x:v>
      </x:c>
      <x:c r="Q58" s="56" t="n">
        <x:f>IF(OR(C58="夜",C58="統"),IF(D58="明",0,1),IF(D58="明",1,0))+IF(OR(D58="夜",D58="統"),IF(E58="明",0,1),IF(E58="明",1,0))+IF(OR(E58="夜",E58="統"),IF(F58="明",0,1),IF(F58="明",1,0))+IF(OR(F58="夜",F58="統"),IF(G58="明",0,1),IF(G58="明",1,0))+IF(OR(G58="夜",G58="統"),IF(H58="明",0,1),IF(H58="明",1,0))+IF(OR(H58="夜",H58="統"),IF(I58="明",0,1),IF(I58="明",1,0))+IF(OR(I58="夜",I58="統"),IF(J58="明",0,1),IF(J58="明",1,0))</x:f>
        <x:v>0</x:v>
      </x:c>
    </x:row>
    <x:row r="59" ht="26" customHeight="1">
      <x:c r="A59" s="56" t="str">
        <x:v>3F-05</x:v>
      </x:c>
      <x:c r="B59" s="56" t="str">
        <x:v>3F</x:v>
      </x:c>
      <x:c r="C59" s="80" t="str">
        <x:v>休</x:v>
      </x:c>
      <x:c r="D59" s="80" t="str">
        <x:v>早</x:v>
      </x:c>
      <x:c r="E59" s="80" t="str">
        <x:v>夜</x:v>
      </x:c>
      <x:c r="F59" s="80" t="str">
        <x:v>明</x:v>
      </x:c>
      <x:c r="G59" s="80" t="str">
        <x:v>早</x:v>
      </x:c>
      <x:c r="H59" s="80" t="str">
        <x:v>早</x:v>
      </x:c>
      <x:c r="I59" s="80" t="str">
        <x:v>遅</x:v>
      </x:c>
      <x:c r="J59" s="80" t="str">
        <x:v>夜</x:v>
      </x:c>
      <x:c r="K59" s="80" t="str">
        <x:v>明</x:v>
      </x:c>
      <x:c r="L59" s="72" t="n">
        <x:f>COUNTIFS(D59:J59,"早")*'勤務区分'!$G$6+COUNTIFS(D59:J59,"遅")*'勤務区分'!$G$7+COUNTIFS(D59:J59,"日")*'勤務区分'!$G$8+COUNTIFS(D59:J59,"午")*'勤務区分'!$G$9+COUNTIFS(D59:J59,"後")*'勤務区分'!$G$10+COUNTIFS(D59:J59,"短A")*'勤務区分'!$G$11+COUNTIFS(D59:J59,"短B")*'勤務区分'!$G$12+(COUNTIFS(D59:J59,"夜")+COUNTIFS(D59:J59,"統"))*'勤務区分'!$G$13</x:f>
        <x:v>59.99999999999999</x:v>
      </x:c>
      <x:c r="M59" s="72" t="n">
        <x:f>'職員マスター'!O58</x:f>
        <x:v>40</x:v>
      </x:c>
      <x:c r="N59" s="72" t="n">
        <x:f>MAX(0,L59-M59)</x:f>
        <x:v>19.999999999999993</x:v>
      </x:c>
      <x:c r="O59" s="56" t="n">
        <x:f>IF('職員マスター'!F58="不可",COUNTIFS(D59:J59,"夜")+COUNTIFS(D59:J59,"統"),0)</x:f>
        <x:v>0</x:v>
      </x:c>
      <x:c r="P59" s="56" t="n">
        <x:f>IF(OR(D59="休",D59="有",D59="明"),0,IF(D59="統",IF('職員マスター'!M58="可",0,1),IF(ISNUMBER(SEARCH("・"&amp;D59&amp;"・","・"&amp;'職員マスター'!N58&amp;"・")),0,1)))+IF(OR(E59="休",E59="有",E59="明"),0,IF(E59="統",IF('職員マスター'!M58="可",0,1),IF(ISNUMBER(SEARCH("・"&amp;E59&amp;"・","・"&amp;'職員マスター'!N58&amp;"・")),0,1)))+IF(OR(F59="休",F59="有",F59="明"),0,IF(F59="統",IF('職員マスター'!M58="可",0,1),IF(ISNUMBER(SEARCH("・"&amp;F59&amp;"・","・"&amp;'職員マスター'!N58&amp;"・")),0,1)))+IF(OR(G59="休",G59="有",G59="明"),0,IF(G59="統",IF('職員マスター'!M58="可",0,1),IF(ISNUMBER(SEARCH("・"&amp;G59&amp;"・","・"&amp;'職員マスター'!N58&amp;"・")),0,1)))+IF(OR(H59="休",H59="有",H59="明"),0,IF(H59="統",IF('職員マスター'!M58="可",0,1),IF(ISNUMBER(SEARCH("・"&amp;H59&amp;"・","・"&amp;'職員マスター'!N58&amp;"・")),0,1)))+IF(OR(I59="休",I59="有",I59="明"),0,IF(I59="統",IF('職員マスター'!M58="可",0,1),IF(ISNUMBER(SEARCH("・"&amp;I59&amp;"・","・"&amp;'職員マスター'!N58&amp;"・")),0,1)))+IF(OR(J59="休",J59="有",J59="明"),0,IF(J59="統",IF('職員マスター'!M58="可",0,1),IF(ISNUMBER(SEARCH("・"&amp;J59&amp;"・","・"&amp;'職員マスター'!N58&amp;"・")),0,1)))</x:f>
        <x:v>0</x:v>
      </x:c>
      <x:c r="Q59" s="56" t="n">
        <x:f>IF(OR(C59="夜",C59="統"),IF(D59="明",0,1),IF(D59="明",1,0))+IF(OR(D59="夜",D59="統"),IF(E59="明",0,1),IF(E59="明",1,0))+IF(OR(E59="夜",E59="統"),IF(F59="明",0,1),IF(F59="明",1,0))+IF(OR(F59="夜",F59="統"),IF(G59="明",0,1),IF(G59="明",1,0))+IF(OR(G59="夜",G59="統"),IF(H59="明",0,1),IF(H59="明",1,0))+IF(OR(H59="夜",H59="統"),IF(I59="明",0,1),IF(I59="明",1,0))+IF(OR(I59="夜",I59="統"),IF(J59="明",0,1),IF(J59="明",1,0))</x:f>
        <x:v>0</x:v>
      </x:c>
    </x:row>
    <x:row r="60" ht="26" customHeight="1">
      <x:c r="A60" s="56" t="str">
        <x:v>3F-06</x:v>
      </x:c>
      <x:c r="B60" s="56" t="str">
        <x:v>3F</x:v>
      </x:c>
      <x:c r="C60" s="80" t="str">
        <x:v>休</x:v>
      </x:c>
      <x:c r="D60" s="80" t="str">
        <x:v>早</x:v>
      </x:c>
      <x:c r="E60" s="80" t="str">
        <x:v>夜</x:v>
      </x:c>
      <x:c r="F60" s="80" t="str">
        <x:v>明</x:v>
      </x:c>
      <x:c r="G60" s="80" t="str">
        <x:v>早</x:v>
      </x:c>
      <x:c r="H60" s="80" t="str">
        <x:v>早</x:v>
      </x:c>
      <x:c r="I60" s="80" t="str">
        <x:v>休</x:v>
      </x:c>
      <x:c r="J60" s="80" t="str">
        <x:v>早</x:v>
      </x:c>
      <x:c r="K60" s="80" t="str">
        <x:v>夜</x:v>
      </x:c>
      <x:c r="L60" s="72" t="n">
        <x:f>COUNTIFS(D60:J60,"早")*'勤務区分'!$G$6+COUNTIFS(D60:J60,"遅")*'勤務区分'!$G$7+COUNTIFS(D60:J60,"日")*'勤務区分'!$G$8+COUNTIFS(D60:J60,"午")*'勤務区分'!$G$9+COUNTIFS(D60:J60,"後")*'勤務区分'!$G$10+COUNTIFS(D60:J60,"短A")*'勤務区分'!$G$11+COUNTIFS(D60:J60,"短B")*'勤務区分'!$G$12+(COUNTIFS(D60:J60,"夜")+COUNTIFS(D60:J60,"統"))*'勤務区分'!$G$13</x:f>
        <x:v>45.99999999999999</x:v>
      </x:c>
      <x:c r="M60" s="72" t="n">
        <x:f>'職員マスター'!O59</x:f>
        <x:v>40</x:v>
      </x:c>
      <x:c r="N60" s="72" t="n">
        <x:f>MAX(0,L60-M60)</x:f>
        <x:v>5.999999999999993</x:v>
      </x:c>
      <x:c r="O60" s="56" t="n">
        <x:f>IF('職員マスター'!F59="不可",COUNTIFS(D60:J60,"夜")+COUNTIFS(D60:J60,"統"),0)</x:f>
        <x:v>0</x:v>
      </x:c>
      <x:c r="P60" s="56" t="n">
        <x:f>IF(OR(D60="休",D60="有",D60="明"),0,IF(D60="統",IF('職員マスター'!M59="可",0,1),IF(ISNUMBER(SEARCH("・"&amp;D60&amp;"・","・"&amp;'職員マスター'!N59&amp;"・")),0,1)))+IF(OR(E60="休",E60="有",E60="明"),0,IF(E60="統",IF('職員マスター'!M59="可",0,1),IF(ISNUMBER(SEARCH("・"&amp;E60&amp;"・","・"&amp;'職員マスター'!N59&amp;"・")),0,1)))+IF(OR(F60="休",F60="有",F60="明"),0,IF(F60="統",IF('職員マスター'!M59="可",0,1),IF(ISNUMBER(SEARCH("・"&amp;F60&amp;"・","・"&amp;'職員マスター'!N59&amp;"・")),0,1)))+IF(OR(G60="休",G60="有",G60="明"),0,IF(G60="統",IF('職員マスター'!M59="可",0,1),IF(ISNUMBER(SEARCH("・"&amp;G60&amp;"・","・"&amp;'職員マスター'!N59&amp;"・")),0,1)))+IF(OR(H60="休",H60="有",H60="明"),0,IF(H60="統",IF('職員マスター'!M59="可",0,1),IF(ISNUMBER(SEARCH("・"&amp;H60&amp;"・","・"&amp;'職員マスター'!N59&amp;"・")),0,1)))+IF(OR(I60="休",I60="有",I60="明"),0,IF(I60="統",IF('職員マスター'!M59="可",0,1),IF(ISNUMBER(SEARCH("・"&amp;I60&amp;"・","・"&amp;'職員マスター'!N59&amp;"・")),0,1)))+IF(OR(J60="休",J60="有",J60="明"),0,IF(J60="統",IF('職員マスター'!M59="可",0,1),IF(ISNUMBER(SEARCH("・"&amp;J60&amp;"・","・"&amp;'職員マスター'!N59&amp;"・")),0,1)))</x:f>
        <x:v>0</x:v>
      </x:c>
      <x:c r="Q60" s="56" t="n">
        <x:f>IF(OR(C60="夜",C60="統"),IF(D60="明",0,1),IF(D60="明",1,0))+IF(OR(D60="夜",D60="統"),IF(E60="明",0,1),IF(E60="明",1,0))+IF(OR(E60="夜",E60="統"),IF(F60="明",0,1),IF(F60="明",1,0))+IF(OR(F60="夜",F60="統"),IF(G60="明",0,1),IF(G60="明",1,0))+IF(OR(G60="夜",G60="統"),IF(H60="明",0,1),IF(H60="明",1,0))+IF(OR(H60="夜",H60="統"),IF(I60="明",0,1),IF(I60="明",1,0))+IF(OR(I60="夜",I60="統"),IF(J60="明",0,1),IF(J60="明",1,0))</x:f>
        <x:v>0</x:v>
      </x:c>
    </x:row>
    <x:row r="61" ht="26" customHeight="1">
      <x:c r="A61" s="56" t="str">
        <x:v>3F-07</x:v>
      </x:c>
      <x:c r="B61" s="56" t="str">
        <x:v>3F</x:v>
      </x:c>
      <x:c r="C61" s="80" t="str">
        <x:v>休</x:v>
      </x:c>
      <x:c r="D61" s="80" t="str">
        <x:v>早</x:v>
      </x:c>
      <x:c r="E61" s="80" t="str">
        <x:v>遅</x:v>
      </x:c>
      <x:c r="F61" s="80" t="str">
        <x:v>夜</x:v>
      </x:c>
      <x:c r="G61" s="80" t="str">
        <x:v>明</x:v>
      </x:c>
      <x:c r="H61" s="80" t="str">
        <x:v>遅</x:v>
      </x:c>
      <x:c r="I61" s="80" t="str">
        <x:v>休</x:v>
      </x:c>
      <x:c r="J61" s="80" t="str">
        <x:v>遅</x:v>
      </x:c>
      <x:c r="K61" s="80" t="str">
        <x:v>休</x:v>
      </x:c>
      <x:c r="L61" s="72" t="n">
        <x:f>COUNTIFS(D61:J61,"早")*'勤務区分'!$G$6+COUNTIFS(D61:J61,"遅")*'勤務区分'!$G$7+COUNTIFS(D61:J61,"日")*'勤務区分'!$G$8+COUNTIFS(D61:J61,"午")*'勤務区分'!$G$9+COUNTIFS(D61:J61,"後")*'勤務区分'!$G$10+COUNTIFS(D61:J61,"短A")*'勤務区分'!$G$11+COUNTIFS(D61:J61,"短B")*'勤務区分'!$G$12+(COUNTIFS(D61:J61,"夜")+COUNTIFS(D61:J61,"統"))*'勤務区分'!$G$13</x:f>
        <x:v>45.99999999999999</x:v>
      </x:c>
      <x:c r="M61" s="72" t="n">
        <x:f>'職員マスター'!O60</x:f>
        <x:v>40</x:v>
      </x:c>
      <x:c r="N61" s="72" t="n">
        <x:f>MAX(0,L61-M61)</x:f>
        <x:v>5.999999999999993</x:v>
      </x:c>
      <x:c r="O61" s="56" t="n">
        <x:f>IF('職員マスター'!F60="不可",COUNTIFS(D61:J61,"夜")+COUNTIFS(D61:J61,"統"),0)</x:f>
        <x:v>0</x:v>
      </x:c>
      <x:c r="P61" s="56" t="n">
        <x:f>IF(OR(D61="休",D61="有",D61="明"),0,IF(D61="統",IF('職員マスター'!M60="可",0,1),IF(ISNUMBER(SEARCH("・"&amp;D61&amp;"・","・"&amp;'職員マスター'!N60&amp;"・")),0,1)))+IF(OR(E61="休",E61="有",E61="明"),0,IF(E61="統",IF('職員マスター'!M60="可",0,1),IF(ISNUMBER(SEARCH("・"&amp;E61&amp;"・","・"&amp;'職員マスター'!N60&amp;"・")),0,1)))+IF(OR(F61="休",F61="有",F61="明"),0,IF(F61="統",IF('職員マスター'!M60="可",0,1),IF(ISNUMBER(SEARCH("・"&amp;F61&amp;"・","・"&amp;'職員マスター'!N60&amp;"・")),0,1)))+IF(OR(G61="休",G61="有",G61="明"),0,IF(G61="統",IF('職員マスター'!M60="可",0,1),IF(ISNUMBER(SEARCH("・"&amp;G61&amp;"・","・"&amp;'職員マスター'!N60&amp;"・")),0,1)))+IF(OR(H61="休",H61="有",H61="明"),0,IF(H61="統",IF('職員マスター'!M60="可",0,1),IF(ISNUMBER(SEARCH("・"&amp;H61&amp;"・","・"&amp;'職員マスター'!N60&amp;"・")),0,1)))+IF(OR(I61="休",I61="有",I61="明"),0,IF(I61="統",IF('職員マスター'!M60="可",0,1),IF(ISNUMBER(SEARCH("・"&amp;I61&amp;"・","・"&amp;'職員マスター'!N60&amp;"・")),0,1)))+IF(OR(J61="休",J61="有",J61="明"),0,IF(J61="統",IF('職員マスター'!M60="可",0,1),IF(ISNUMBER(SEARCH("・"&amp;J61&amp;"・","・"&amp;'職員マスター'!N60&amp;"・")),0,1)))</x:f>
        <x:v>0</x:v>
      </x:c>
      <x:c r="Q61" s="56" t="n">
        <x:f>IF(OR(C61="夜",C61="統"),IF(D61="明",0,1),IF(D61="明",1,0))+IF(OR(D61="夜",D61="統"),IF(E61="明",0,1),IF(E61="明",1,0))+IF(OR(E61="夜",E61="統"),IF(F61="明",0,1),IF(F61="明",1,0))+IF(OR(F61="夜",F61="統"),IF(G61="明",0,1),IF(G61="明",1,0))+IF(OR(G61="夜",G61="統"),IF(H61="明",0,1),IF(H61="明",1,0))+IF(OR(H61="夜",H61="統"),IF(I61="明",0,1),IF(I61="明",1,0))+IF(OR(I61="夜",I61="統"),IF(J61="明",0,1),IF(J61="明",1,0))</x:f>
        <x:v>0</x:v>
      </x:c>
    </x:row>
    <x:row r="62" ht="26" customHeight="1">
      <x:c r="A62" s="56" t="str">
        <x:v>3F-08</x:v>
      </x:c>
      <x:c r="B62" s="56" t="str">
        <x:v>3F</x:v>
      </x:c>
      <x:c r="C62" s="80" t="str">
        <x:v>休</x:v>
      </x:c>
      <x:c r="D62" s="80" t="str">
        <x:v>早</x:v>
      </x:c>
      <x:c r="E62" s="80" t="str">
        <x:v>遅</x:v>
      </x:c>
      <x:c r="F62" s="80" t="str">
        <x:v>夜</x:v>
      </x:c>
      <x:c r="G62" s="80" t="str">
        <x:v>明</x:v>
      </x:c>
      <x:c r="H62" s="80" t="str">
        <x:v>遅</x:v>
      </x:c>
      <x:c r="I62" s="80" t="str">
        <x:v>休</x:v>
      </x:c>
      <x:c r="J62" s="80" t="str">
        <x:v>遅</x:v>
      </x:c>
      <x:c r="K62" s="80" t="str">
        <x:v>休</x:v>
      </x:c>
      <x:c r="L62" s="72" t="n">
        <x:f>COUNTIFS(D62:J62,"早")*'勤務区分'!$G$6+COUNTIFS(D62:J62,"遅")*'勤務区分'!$G$7+COUNTIFS(D62:J62,"日")*'勤務区分'!$G$8+COUNTIFS(D62:J62,"午")*'勤務区分'!$G$9+COUNTIFS(D62:J62,"後")*'勤務区分'!$G$10+COUNTIFS(D62:J62,"短A")*'勤務区分'!$G$11+COUNTIFS(D62:J62,"短B")*'勤務区分'!$G$12+(COUNTIFS(D62:J62,"夜")+COUNTIFS(D62:J62,"統"))*'勤務区分'!$G$13</x:f>
        <x:v>45.99999999999999</x:v>
      </x:c>
      <x:c r="M62" s="72" t="n">
        <x:f>'職員マスター'!O61</x:f>
        <x:v>40</x:v>
      </x:c>
      <x:c r="N62" s="72" t="n">
        <x:f>MAX(0,L62-M62)</x:f>
        <x:v>5.999999999999993</x:v>
      </x:c>
      <x:c r="O62" s="56" t="n">
        <x:f>IF('職員マスター'!F61="不可",COUNTIFS(D62:J62,"夜")+COUNTIFS(D62:J62,"統"),0)</x:f>
        <x:v>0</x:v>
      </x:c>
      <x:c r="P62" s="56" t="n">
        <x:f>IF(OR(D62="休",D62="有",D62="明"),0,IF(D62="統",IF('職員マスター'!M61="可",0,1),IF(ISNUMBER(SEARCH("・"&amp;D62&amp;"・","・"&amp;'職員マスター'!N61&amp;"・")),0,1)))+IF(OR(E62="休",E62="有",E62="明"),0,IF(E62="統",IF('職員マスター'!M61="可",0,1),IF(ISNUMBER(SEARCH("・"&amp;E62&amp;"・","・"&amp;'職員マスター'!N61&amp;"・")),0,1)))+IF(OR(F62="休",F62="有",F62="明"),0,IF(F62="統",IF('職員マスター'!M61="可",0,1),IF(ISNUMBER(SEARCH("・"&amp;F62&amp;"・","・"&amp;'職員マスター'!N61&amp;"・")),0,1)))+IF(OR(G62="休",G62="有",G62="明"),0,IF(G62="統",IF('職員マスター'!M61="可",0,1),IF(ISNUMBER(SEARCH("・"&amp;G62&amp;"・","・"&amp;'職員マスター'!N61&amp;"・")),0,1)))+IF(OR(H62="休",H62="有",H62="明"),0,IF(H62="統",IF('職員マスター'!M61="可",0,1),IF(ISNUMBER(SEARCH("・"&amp;H62&amp;"・","・"&amp;'職員マスター'!N61&amp;"・")),0,1)))+IF(OR(I62="休",I62="有",I62="明"),0,IF(I62="統",IF('職員マスター'!M61="可",0,1),IF(ISNUMBER(SEARCH("・"&amp;I62&amp;"・","・"&amp;'職員マスター'!N61&amp;"・")),0,1)))+IF(OR(J62="休",J62="有",J62="明"),0,IF(J62="統",IF('職員マスター'!M61="可",0,1),IF(ISNUMBER(SEARCH("・"&amp;J62&amp;"・","・"&amp;'職員マスター'!N61&amp;"・")),0,1)))</x:f>
        <x:v>0</x:v>
      </x:c>
      <x:c r="Q62" s="56" t="n">
        <x:f>IF(OR(C62="夜",C62="統"),IF(D62="明",0,1),IF(D62="明",1,0))+IF(OR(D62="夜",D62="統"),IF(E62="明",0,1),IF(E62="明",1,0))+IF(OR(E62="夜",E62="統"),IF(F62="明",0,1),IF(F62="明",1,0))+IF(OR(F62="夜",F62="統"),IF(G62="明",0,1),IF(G62="明",1,0))+IF(OR(G62="夜",G62="統"),IF(H62="明",0,1),IF(H62="明",1,0))+IF(OR(H62="夜",H62="統"),IF(I62="明",0,1),IF(I62="明",1,0))+IF(OR(I62="夜",I62="統"),IF(J62="明",0,1),IF(J62="明",1,0))</x:f>
        <x:v>0</x:v>
      </x:c>
    </x:row>
    <x:row r="63" ht="26" customHeight="1">
      <x:c r="A63" s="56" t="str">
        <x:v>3F-09</x:v>
      </x:c>
      <x:c r="B63" s="56" t="str">
        <x:v>3F</x:v>
      </x:c>
      <x:c r="C63" s="80" t="str">
        <x:v>休</x:v>
      </x:c>
      <x:c r="D63" s="80" t="str">
        <x:v>遅</x:v>
      </x:c>
      <x:c r="E63" s="80" t="str">
        <x:v>日</x:v>
      </x:c>
      <x:c r="F63" s="80" t="str">
        <x:v>休</x:v>
      </x:c>
      <x:c r="G63" s="80" t="str">
        <x:v>日</x:v>
      </x:c>
      <x:c r="H63" s="80" t="str">
        <x:v>休</x:v>
      </x:c>
      <x:c r="I63" s="80" t="str">
        <x:v>夜</x:v>
      </x:c>
      <x:c r="J63" s="80" t="str">
        <x:v>明</x:v>
      </x:c>
      <x:c r="K63" s="80" t="str">
        <x:v>休</x:v>
      </x:c>
      <x:c r="L63" s="72" t="n">
        <x:f>COUNTIFS(D63:J63,"早")*'勤務区分'!$G$6+COUNTIFS(D63:J63,"遅")*'勤務区分'!$G$7+COUNTIFS(D63:J63,"日")*'勤務区分'!$G$8+COUNTIFS(D63:J63,"午")*'勤務区分'!$G$9+COUNTIFS(D63:J63,"後")*'勤務区分'!$G$10+COUNTIFS(D63:J63,"短A")*'勤務区分'!$G$11+COUNTIFS(D63:J63,"短B")*'勤務区分'!$G$12+(COUNTIFS(D63:J63,"夜")+COUNTIFS(D63:J63,"統"))*'勤務区分'!$G$13</x:f>
        <x:v>38</x:v>
      </x:c>
      <x:c r="M63" s="72" t="n">
        <x:f>'職員マスター'!O62</x:f>
        <x:v>40</x:v>
      </x:c>
      <x:c r="N63" s="72" t="n">
        <x:f>MAX(0,L63-M63)</x:f>
        <x:v>0</x:v>
      </x:c>
      <x:c r="O63" s="56" t="n">
        <x:f>IF('職員マスター'!F62="不可",COUNTIFS(D63:J63,"夜")+COUNTIFS(D63:J63,"統"),0)</x:f>
        <x:v>0</x:v>
      </x:c>
      <x:c r="P63" s="56" t="n">
        <x:f>IF(OR(D63="休",D63="有",D63="明"),0,IF(D63="統",IF('職員マスター'!M62="可",0,1),IF(ISNUMBER(SEARCH("・"&amp;D63&amp;"・","・"&amp;'職員マスター'!N62&amp;"・")),0,1)))+IF(OR(E63="休",E63="有",E63="明"),0,IF(E63="統",IF('職員マスター'!M62="可",0,1),IF(ISNUMBER(SEARCH("・"&amp;E63&amp;"・","・"&amp;'職員マスター'!N62&amp;"・")),0,1)))+IF(OR(F63="休",F63="有",F63="明"),0,IF(F63="統",IF('職員マスター'!M62="可",0,1),IF(ISNUMBER(SEARCH("・"&amp;F63&amp;"・","・"&amp;'職員マスター'!N62&amp;"・")),0,1)))+IF(OR(G63="休",G63="有",G63="明"),0,IF(G63="統",IF('職員マスター'!M62="可",0,1),IF(ISNUMBER(SEARCH("・"&amp;G63&amp;"・","・"&amp;'職員マスター'!N62&amp;"・")),0,1)))+IF(OR(H63="休",H63="有",H63="明"),0,IF(H63="統",IF('職員マスター'!M62="可",0,1),IF(ISNUMBER(SEARCH("・"&amp;H63&amp;"・","・"&amp;'職員マスター'!N62&amp;"・")),0,1)))+IF(OR(I63="休",I63="有",I63="明"),0,IF(I63="統",IF('職員マスター'!M62="可",0,1),IF(ISNUMBER(SEARCH("・"&amp;I63&amp;"・","・"&amp;'職員マスター'!N62&amp;"・")),0,1)))+IF(OR(J63="休",J63="有",J63="明"),0,IF(J63="統",IF('職員マスター'!M62="可",0,1),IF(ISNUMBER(SEARCH("・"&amp;J63&amp;"・","・"&amp;'職員マスター'!N62&amp;"・")),0,1)))</x:f>
        <x:v>0</x:v>
      </x:c>
      <x:c r="Q63" s="56" t="n">
        <x:f>IF(OR(C63="夜",C63="統"),IF(D63="明",0,1),IF(D63="明",1,0))+IF(OR(D63="夜",D63="統"),IF(E63="明",0,1),IF(E63="明",1,0))+IF(OR(E63="夜",E63="統"),IF(F63="明",0,1),IF(F63="明",1,0))+IF(OR(F63="夜",F63="統"),IF(G63="明",0,1),IF(G63="明",1,0))+IF(OR(G63="夜",G63="統"),IF(H63="明",0,1),IF(H63="明",1,0))+IF(OR(H63="夜",H63="統"),IF(I63="明",0,1),IF(I63="明",1,0))+IF(OR(I63="夜",I63="統"),IF(J63="明",0,1),IF(J63="明",1,0))</x:f>
        <x:v>0</x:v>
      </x:c>
    </x:row>
    <x:row r="64" ht="26" customHeight="1">
      <x:c r="A64" s="56" t="str">
        <x:v>3F-10</x:v>
      </x:c>
      <x:c r="B64" s="56" t="str">
        <x:v>3F</x:v>
      </x:c>
      <x:c r="C64" s="80" t="str">
        <x:v>休</x:v>
      </x:c>
      <x:c r="D64" s="80" t="str">
        <x:v>遅</x:v>
      </x:c>
      <x:c r="E64" s="80" t="str">
        <x:v>休</x:v>
      </x:c>
      <x:c r="F64" s="80" t="str">
        <x:v>遅</x:v>
      </x:c>
      <x:c r="G64" s="80" t="str">
        <x:v>休</x:v>
      </x:c>
      <x:c r="H64" s="80" t="str">
        <x:v>夜</x:v>
      </x:c>
      <x:c r="I64" s="80" t="str">
        <x:v>明</x:v>
      </x:c>
      <x:c r="J64" s="80" t="str">
        <x:v>早</x:v>
      </x:c>
      <x:c r="K64" s="80" t="str">
        <x:v>休</x:v>
      </x:c>
      <x:c r="L64" s="72" t="n">
        <x:f>COUNTIFS(D64:J64,"早")*'勤務区分'!$G$6+COUNTIFS(D64:J64,"遅")*'勤務区分'!$G$7+COUNTIFS(D64:J64,"日")*'勤務区分'!$G$8+COUNTIFS(D64:J64,"午")*'勤務区分'!$G$9+COUNTIFS(D64:J64,"後")*'勤務区分'!$G$10+COUNTIFS(D64:J64,"短A")*'勤務区分'!$G$11+COUNTIFS(D64:J64,"短B")*'勤務区分'!$G$12+(COUNTIFS(D64:J64,"夜")+COUNTIFS(D64:J64,"統"))*'勤務区分'!$G$13</x:f>
        <x:v>37.99999999999999</x:v>
      </x:c>
      <x:c r="M64" s="72" t="n">
        <x:f>'職員マスター'!O63</x:f>
        <x:v>40</x:v>
      </x:c>
      <x:c r="N64" s="72" t="n">
        <x:f>MAX(0,L64-M64)</x:f>
        <x:v>0</x:v>
      </x:c>
      <x:c r="O64" s="56" t="n">
        <x:f>IF('職員マスター'!F63="不可",COUNTIFS(D64:J64,"夜")+COUNTIFS(D64:J64,"統"),0)</x:f>
        <x:v>0</x:v>
      </x:c>
      <x:c r="P64" s="56" t="n">
        <x:f>IF(OR(D64="休",D64="有",D64="明"),0,IF(D64="統",IF('職員マスター'!M63="可",0,1),IF(ISNUMBER(SEARCH("・"&amp;D64&amp;"・","・"&amp;'職員マスター'!N63&amp;"・")),0,1)))+IF(OR(E64="休",E64="有",E64="明"),0,IF(E64="統",IF('職員マスター'!M63="可",0,1),IF(ISNUMBER(SEARCH("・"&amp;E64&amp;"・","・"&amp;'職員マスター'!N63&amp;"・")),0,1)))+IF(OR(F64="休",F64="有",F64="明"),0,IF(F64="統",IF('職員マスター'!M63="可",0,1),IF(ISNUMBER(SEARCH("・"&amp;F64&amp;"・","・"&amp;'職員マスター'!N63&amp;"・")),0,1)))+IF(OR(G64="休",G64="有",G64="明"),0,IF(G64="統",IF('職員マスター'!M63="可",0,1),IF(ISNUMBER(SEARCH("・"&amp;G64&amp;"・","・"&amp;'職員マスター'!N63&amp;"・")),0,1)))+IF(OR(H64="休",H64="有",H64="明"),0,IF(H64="統",IF('職員マスター'!M63="可",0,1),IF(ISNUMBER(SEARCH("・"&amp;H64&amp;"・","・"&amp;'職員マスター'!N63&amp;"・")),0,1)))+IF(OR(I64="休",I64="有",I64="明"),0,IF(I64="統",IF('職員マスター'!M63="可",0,1),IF(ISNUMBER(SEARCH("・"&amp;I64&amp;"・","・"&amp;'職員マスター'!N63&amp;"・")),0,1)))+IF(OR(J64="休",J64="有",J64="明"),0,IF(J64="統",IF('職員マスター'!M63="可",0,1),IF(ISNUMBER(SEARCH("・"&amp;J64&amp;"・","・"&amp;'職員マスター'!N63&amp;"・")),0,1)))</x:f>
        <x:v>0</x:v>
      </x:c>
      <x:c r="Q64" s="56" t="n">
        <x:f>IF(OR(C64="夜",C64="統"),IF(D64="明",0,1),IF(D64="明",1,0))+IF(OR(D64="夜",D64="統"),IF(E64="明",0,1),IF(E64="明",1,0))+IF(OR(E64="夜",E64="統"),IF(F64="明",0,1),IF(F64="明",1,0))+IF(OR(F64="夜",F64="統"),IF(G64="明",0,1),IF(G64="明",1,0))+IF(OR(G64="夜",G64="統"),IF(H64="明",0,1),IF(H64="明",1,0))+IF(OR(H64="夜",H64="統"),IF(I64="明",0,1),IF(I64="明",1,0))+IF(OR(I64="夜",I64="統"),IF(J64="明",0,1),IF(J64="明",1,0))</x:f>
        <x:v>0</x:v>
      </x:c>
    </x:row>
    <x:row r="65" ht="26" customHeight="1">
      <x:c r="A65" s="56" t="str">
        <x:v>3F-11</x:v>
      </x:c>
      <x:c r="B65" s="56" t="str">
        <x:v>3F</x:v>
      </x:c>
      <x:c r="C65" s="80" t="str">
        <x:v>休</x:v>
      </x:c>
      <x:c r="D65" s="80" t="str">
        <x:v>遅</x:v>
      </x:c>
      <x:c r="E65" s="80" t="str">
        <x:v>休</x:v>
      </x:c>
      <x:c r="F65" s="80" t="str">
        <x:v>遅</x:v>
      </x:c>
      <x:c r="G65" s="80" t="str">
        <x:v>休</x:v>
      </x:c>
      <x:c r="H65" s="80" t="str">
        <x:v>夜</x:v>
      </x:c>
      <x:c r="I65" s="80" t="str">
        <x:v>明</x:v>
      </x:c>
      <x:c r="J65" s="80" t="str">
        <x:v>早</x:v>
      </x:c>
      <x:c r="K65" s="80" t="str">
        <x:v>休</x:v>
      </x:c>
      <x:c r="L65" s="72" t="n">
        <x:f>COUNTIFS(D65:J65,"早")*'勤務区分'!$G$6+COUNTIFS(D65:J65,"遅")*'勤務区分'!$G$7+COUNTIFS(D65:J65,"日")*'勤務区分'!$G$8+COUNTIFS(D65:J65,"午")*'勤務区分'!$G$9+COUNTIFS(D65:J65,"後")*'勤務区分'!$G$10+COUNTIFS(D65:J65,"短A")*'勤務区分'!$G$11+COUNTIFS(D65:J65,"短B")*'勤務区分'!$G$12+(COUNTIFS(D65:J65,"夜")+COUNTIFS(D65:J65,"統"))*'勤務区分'!$G$13</x:f>
        <x:v>37.99999999999999</x:v>
      </x:c>
      <x:c r="M65" s="72" t="n">
        <x:f>'職員マスター'!O64</x:f>
        <x:v>40</x:v>
      </x:c>
      <x:c r="N65" s="72" t="n">
        <x:f>MAX(0,L65-M65)</x:f>
        <x:v>0</x:v>
      </x:c>
      <x:c r="O65" s="56" t="n">
        <x:f>IF('職員マスター'!F64="不可",COUNTIFS(D65:J65,"夜")+COUNTIFS(D65:J65,"統"),0)</x:f>
        <x:v>0</x:v>
      </x:c>
      <x:c r="P65" s="56" t="n">
        <x:f>IF(OR(D65="休",D65="有",D65="明"),0,IF(D65="統",IF('職員マスター'!M64="可",0,1),IF(ISNUMBER(SEARCH("・"&amp;D65&amp;"・","・"&amp;'職員マスター'!N64&amp;"・")),0,1)))+IF(OR(E65="休",E65="有",E65="明"),0,IF(E65="統",IF('職員マスター'!M64="可",0,1),IF(ISNUMBER(SEARCH("・"&amp;E65&amp;"・","・"&amp;'職員マスター'!N64&amp;"・")),0,1)))+IF(OR(F65="休",F65="有",F65="明"),0,IF(F65="統",IF('職員マスター'!M64="可",0,1),IF(ISNUMBER(SEARCH("・"&amp;F65&amp;"・","・"&amp;'職員マスター'!N64&amp;"・")),0,1)))+IF(OR(G65="休",G65="有",G65="明"),0,IF(G65="統",IF('職員マスター'!M64="可",0,1),IF(ISNUMBER(SEARCH("・"&amp;G65&amp;"・","・"&amp;'職員マスター'!N64&amp;"・")),0,1)))+IF(OR(H65="休",H65="有",H65="明"),0,IF(H65="統",IF('職員マスター'!M64="可",0,1),IF(ISNUMBER(SEARCH("・"&amp;H65&amp;"・","・"&amp;'職員マスター'!N64&amp;"・")),0,1)))+IF(OR(I65="休",I65="有",I65="明"),0,IF(I65="統",IF('職員マスター'!M64="可",0,1),IF(ISNUMBER(SEARCH("・"&amp;I65&amp;"・","・"&amp;'職員マスター'!N64&amp;"・")),0,1)))+IF(OR(J65="休",J65="有",J65="明"),0,IF(J65="統",IF('職員マスター'!M64="可",0,1),IF(ISNUMBER(SEARCH("・"&amp;J65&amp;"・","・"&amp;'職員マスター'!N64&amp;"・")),0,1)))</x:f>
        <x:v>0</x:v>
      </x:c>
      <x:c r="Q65" s="56" t="n">
        <x:f>IF(OR(C65="夜",C65="統"),IF(D65="明",0,1),IF(D65="明",1,0))+IF(OR(D65="夜",D65="統"),IF(E65="明",0,1),IF(E65="明",1,0))+IF(OR(E65="夜",E65="統"),IF(F65="明",0,1),IF(F65="明",1,0))+IF(OR(F65="夜",F65="統"),IF(G65="明",0,1),IF(G65="明",1,0))+IF(OR(G65="夜",G65="統"),IF(H65="明",0,1),IF(H65="明",1,0))+IF(OR(H65="夜",H65="統"),IF(I65="明",0,1),IF(I65="明",1,0))+IF(OR(I65="夜",I65="統"),IF(J65="明",0,1),IF(J65="明",1,0))</x:f>
        <x:v>0</x:v>
      </x:c>
    </x:row>
    <x:row r="66" ht="26" customHeight="1">
      <x:c r="A66" s="56" t="str">
        <x:v>3F-12</x:v>
      </x:c>
      <x:c r="B66" s="56" t="str">
        <x:v>3F</x:v>
      </x:c>
      <x:c r="C66" s="80" t="str">
        <x:v>休</x:v>
      </x:c>
      <x:c r="D66" s="80" t="str">
        <x:v>遅</x:v>
      </x:c>
      <x:c r="E66" s="80" t="str">
        <x:v>休</x:v>
      </x:c>
      <x:c r="F66" s="80" t="str">
        <x:v>遅</x:v>
      </x:c>
      <x:c r="G66" s="80" t="str">
        <x:v>休</x:v>
      </x:c>
      <x:c r="H66" s="80" t="str">
        <x:v>遅</x:v>
      </x:c>
      <x:c r="I66" s="80" t="str">
        <x:v>夜</x:v>
      </x:c>
      <x:c r="J66" s="80" t="str">
        <x:v>明</x:v>
      </x:c>
      <x:c r="K66" s="80" t="str">
        <x:v>休</x:v>
      </x:c>
      <x:c r="L66" s="72" t="n">
        <x:f>COUNTIFS(D66:J66,"早")*'勤務区分'!$G$6+COUNTIFS(D66:J66,"遅")*'勤務区分'!$G$7+COUNTIFS(D66:J66,"日")*'勤務区分'!$G$8+COUNTIFS(D66:J66,"午")*'勤務区分'!$G$9+COUNTIFS(D66:J66,"後")*'勤務区分'!$G$10+COUNTIFS(D66:J66,"短A")*'勤務区分'!$G$11+COUNTIFS(D66:J66,"短B")*'勤務区分'!$G$12+(COUNTIFS(D66:J66,"夜")+COUNTIFS(D66:J66,"統"))*'勤務区分'!$G$13</x:f>
        <x:v>37.99999999999999</x:v>
      </x:c>
      <x:c r="M66" s="72" t="n">
        <x:f>'職員マスター'!O65</x:f>
        <x:v>40</x:v>
      </x:c>
      <x:c r="N66" s="72" t="n">
        <x:f>MAX(0,L66-M66)</x:f>
        <x:v>0</x:v>
      </x:c>
      <x:c r="O66" s="56" t="n">
        <x:f>IF('職員マスター'!F65="不可",COUNTIFS(D66:J66,"夜")+COUNTIFS(D66:J66,"統"),0)</x:f>
        <x:v>0</x:v>
      </x:c>
      <x:c r="P66" s="56" t="n">
        <x:f>IF(OR(D66="休",D66="有",D66="明"),0,IF(D66="統",IF('職員マスター'!M65="可",0,1),IF(ISNUMBER(SEARCH("・"&amp;D66&amp;"・","・"&amp;'職員マスター'!N65&amp;"・")),0,1)))+IF(OR(E66="休",E66="有",E66="明"),0,IF(E66="統",IF('職員マスター'!M65="可",0,1),IF(ISNUMBER(SEARCH("・"&amp;E66&amp;"・","・"&amp;'職員マスター'!N65&amp;"・")),0,1)))+IF(OR(F66="休",F66="有",F66="明"),0,IF(F66="統",IF('職員マスター'!M65="可",0,1),IF(ISNUMBER(SEARCH("・"&amp;F66&amp;"・","・"&amp;'職員マスター'!N65&amp;"・")),0,1)))+IF(OR(G66="休",G66="有",G66="明"),0,IF(G66="統",IF('職員マスター'!M65="可",0,1),IF(ISNUMBER(SEARCH("・"&amp;G66&amp;"・","・"&amp;'職員マスター'!N65&amp;"・")),0,1)))+IF(OR(H66="休",H66="有",H66="明"),0,IF(H66="統",IF('職員マスター'!M65="可",0,1),IF(ISNUMBER(SEARCH("・"&amp;H66&amp;"・","・"&amp;'職員マスター'!N65&amp;"・")),0,1)))+IF(OR(I66="休",I66="有",I66="明"),0,IF(I66="統",IF('職員マスター'!M65="可",0,1),IF(ISNUMBER(SEARCH("・"&amp;I66&amp;"・","・"&amp;'職員マスター'!N65&amp;"・")),0,1)))+IF(OR(J66="休",J66="有",J66="明"),0,IF(J66="統",IF('職員マスター'!M65="可",0,1),IF(ISNUMBER(SEARCH("・"&amp;J66&amp;"・","・"&amp;'職員マスター'!N65&amp;"・")),0,1)))</x:f>
        <x:v>0</x:v>
      </x:c>
      <x:c r="Q66" s="56" t="n">
        <x:f>IF(OR(C66="夜",C66="統"),IF(D66="明",0,1),IF(D66="明",1,0))+IF(OR(D66="夜",D66="統"),IF(E66="明",0,1),IF(E66="明",1,0))+IF(OR(E66="夜",E66="統"),IF(F66="明",0,1),IF(F66="明",1,0))+IF(OR(F66="夜",F66="統"),IF(G66="明",0,1),IF(G66="明",1,0))+IF(OR(G66="夜",G66="統"),IF(H66="明",0,1),IF(H66="明",1,0))+IF(OR(H66="夜",H66="統"),IF(I66="明",0,1),IF(I66="明",1,0))+IF(OR(I66="夜",I66="統"),IF(J66="明",0,1),IF(J66="明",1,0))</x:f>
        <x:v>0</x:v>
      </x:c>
    </x:row>
    <x:row r="67" ht="26" customHeight="1">
      <x:c r="A67" s="56" t="str">
        <x:v>3F-13</x:v>
      </x:c>
      <x:c r="B67" s="56" t="str">
        <x:v>3F</x:v>
      </x:c>
      <x:c r="C67" s="80" t="str">
        <x:v>休</x:v>
      </x:c>
      <x:c r="D67" s="80" t="str">
        <x:v>休</x:v>
      </x:c>
      <x:c r="E67" s="80" t="str">
        <x:v>早</x:v>
      </x:c>
      <x:c r="F67" s="80" t="str">
        <x:v>遅</x:v>
      </x:c>
      <x:c r="G67" s="80" t="str">
        <x:v>夜</x:v>
      </x:c>
      <x:c r="H67" s="80" t="str">
        <x:v>明</x:v>
      </x:c>
      <x:c r="I67" s="80" t="str">
        <x:v>早</x:v>
      </x:c>
      <x:c r="J67" s="80" t="str">
        <x:v>遅</x:v>
      </x:c>
      <x:c r="K67" s="80" t="str">
        <x:v>休</x:v>
      </x:c>
      <x:c r="L67" s="72" t="n">
        <x:f>COUNTIFS(D67:J67,"早")*'勤務区分'!$G$6+COUNTIFS(D67:J67,"遅")*'勤務区分'!$G$7+COUNTIFS(D67:J67,"日")*'勤務区分'!$G$8+COUNTIFS(D67:J67,"午")*'勤務区分'!$G$9+COUNTIFS(D67:J67,"後")*'勤務区分'!$G$10+COUNTIFS(D67:J67,"短A")*'勤務区分'!$G$11+COUNTIFS(D67:J67,"短B")*'勤務区分'!$G$12+(COUNTIFS(D67:J67,"夜")+COUNTIFS(D67:J67,"統"))*'勤務区分'!$G$13</x:f>
        <x:v>45.99999999999999</x:v>
      </x:c>
      <x:c r="M67" s="72" t="n">
        <x:f>'職員マスター'!O66</x:f>
        <x:v>40</x:v>
      </x:c>
      <x:c r="N67" s="72" t="n">
        <x:f>MAX(0,L67-M67)</x:f>
        <x:v>5.999999999999993</x:v>
      </x:c>
      <x:c r="O67" s="56" t="n">
        <x:f>IF('職員マスター'!F66="不可",COUNTIFS(D67:J67,"夜")+COUNTIFS(D67:J67,"統"),0)</x:f>
        <x:v>0</x:v>
      </x:c>
      <x:c r="P67" s="56" t="n">
        <x:f>IF(OR(D67="休",D67="有",D67="明"),0,IF(D67="統",IF('職員マスター'!M66="可",0,1),IF(ISNUMBER(SEARCH("・"&amp;D67&amp;"・","・"&amp;'職員マスター'!N66&amp;"・")),0,1)))+IF(OR(E67="休",E67="有",E67="明"),0,IF(E67="統",IF('職員マスター'!M66="可",0,1),IF(ISNUMBER(SEARCH("・"&amp;E67&amp;"・","・"&amp;'職員マスター'!N66&amp;"・")),0,1)))+IF(OR(F67="休",F67="有",F67="明"),0,IF(F67="統",IF('職員マスター'!M66="可",0,1),IF(ISNUMBER(SEARCH("・"&amp;F67&amp;"・","・"&amp;'職員マスター'!N66&amp;"・")),0,1)))+IF(OR(G67="休",G67="有",G67="明"),0,IF(G67="統",IF('職員マスター'!M66="可",0,1),IF(ISNUMBER(SEARCH("・"&amp;G67&amp;"・","・"&amp;'職員マスター'!N66&amp;"・")),0,1)))+IF(OR(H67="休",H67="有",H67="明"),0,IF(H67="統",IF('職員マスター'!M66="可",0,1),IF(ISNUMBER(SEARCH("・"&amp;H67&amp;"・","・"&amp;'職員マスター'!N66&amp;"・")),0,1)))+IF(OR(I67="休",I67="有",I67="明"),0,IF(I67="統",IF('職員マスター'!M66="可",0,1),IF(ISNUMBER(SEARCH("・"&amp;I67&amp;"・","・"&amp;'職員マスター'!N66&amp;"・")),0,1)))+IF(OR(J67="休",J67="有",J67="明"),0,IF(J67="統",IF('職員マスター'!M66="可",0,1),IF(ISNUMBER(SEARCH("・"&amp;J67&amp;"・","・"&amp;'職員マスター'!N66&amp;"・")),0,1)))</x:f>
        <x:v>0</x:v>
      </x:c>
      <x:c r="Q67" s="56" t="n">
        <x:f>IF(OR(C67="夜",C67="統"),IF(D67="明",0,1),IF(D67="明",1,0))+IF(OR(D67="夜",D67="統"),IF(E67="明",0,1),IF(E67="明",1,0))+IF(OR(E67="夜",E67="統"),IF(F67="明",0,1),IF(F67="明",1,0))+IF(OR(F67="夜",F67="統"),IF(G67="明",0,1),IF(G67="明",1,0))+IF(OR(G67="夜",G67="統"),IF(H67="明",0,1),IF(H67="明",1,0))+IF(OR(H67="夜",H67="統"),IF(I67="明",0,1),IF(I67="明",1,0))+IF(OR(I67="夜",I67="統"),IF(J67="明",0,1),IF(J67="明",1,0))</x:f>
        <x:v>0</x:v>
      </x:c>
    </x:row>
    <x:row r="68" ht="26" customHeight="1">
      <x:c r="A68" s="56" t="str">
        <x:v>3F-14</x:v>
      </x:c>
      <x:c r="B68" s="56" t="str">
        <x:v>3F</x:v>
      </x:c>
      <x:c r="C68" s="80" t="str">
        <x:v>休</x:v>
      </x:c>
      <x:c r="D68" s="80" t="str">
        <x:v>休</x:v>
      </x:c>
      <x:c r="E68" s="80" t="str">
        <x:v>早</x:v>
      </x:c>
      <x:c r="F68" s="80" t="str">
        <x:v>休</x:v>
      </x:c>
      <x:c r="G68" s="80" t="str">
        <x:v>夜</x:v>
      </x:c>
      <x:c r="H68" s="80" t="str">
        <x:v>明</x:v>
      </x:c>
      <x:c r="I68" s="80" t="str">
        <x:v>早</x:v>
      </x:c>
      <x:c r="J68" s="80" t="str">
        <x:v>早</x:v>
      </x:c>
      <x:c r="K68" s="80" t="str">
        <x:v>休</x:v>
      </x:c>
      <x:c r="L68" s="72" t="n">
        <x:f>COUNTIFS(D68:J68,"早")*'勤務区分'!$G$6+COUNTIFS(D68:J68,"遅")*'勤務区分'!$G$7+COUNTIFS(D68:J68,"日")*'勤務区分'!$G$8+COUNTIFS(D68:J68,"午")*'勤務区分'!$G$9+COUNTIFS(D68:J68,"後")*'勤務区分'!$G$10+COUNTIFS(D68:J68,"短A")*'勤務区分'!$G$11+COUNTIFS(D68:J68,"短B")*'勤務区分'!$G$12+(COUNTIFS(D68:J68,"夜")+COUNTIFS(D68:J68,"統"))*'勤務区分'!$G$13</x:f>
        <x:v>37.99999999999999</x:v>
      </x:c>
      <x:c r="M68" s="72" t="n">
        <x:f>'職員マスター'!O67</x:f>
        <x:v>40</x:v>
      </x:c>
      <x:c r="N68" s="72" t="n">
        <x:f>MAX(0,L68-M68)</x:f>
        <x:v>0</x:v>
      </x:c>
      <x:c r="O68" s="56" t="n">
        <x:f>IF('職員マスター'!F67="不可",COUNTIFS(D68:J68,"夜")+COUNTIFS(D68:J68,"統"),0)</x:f>
        <x:v>0</x:v>
      </x:c>
      <x:c r="P68" s="56" t="n">
        <x:f>IF(OR(D68="休",D68="有",D68="明"),0,IF(D68="統",IF('職員マスター'!M67="可",0,1),IF(ISNUMBER(SEARCH("・"&amp;D68&amp;"・","・"&amp;'職員マスター'!N67&amp;"・")),0,1)))+IF(OR(E68="休",E68="有",E68="明"),0,IF(E68="統",IF('職員マスター'!M67="可",0,1),IF(ISNUMBER(SEARCH("・"&amp;E68&amp;"・","・"&amp;'職員マスター'!N67&amp;"・")),0,1)))+IF(OR(F68="休",F68="有",F68="明"),0,IF(F68="統",IF('職員マスター'!M67="可",0,1),IF(ISNUMBER(SEARCH("・"&amp;F68&amp;"・","・"&amp;'職員マスター'!N67&amp;"・")),0,1)))+IF(OR(G68="休",G68="有",G68="明"),0,IF(G68="統",IF('職員マスター'!M67="可",0,1),IF(ISNUMBER(SEARCH("・"&amp;G68&amp;"・","・"&amp;'職員マスター'!N67&amp;"・")),0,1)))+IF(OR(H68="休",H68="有",H68="明"),0,IF(H68="統",IF('職員マスター'!M67="可",0,1),IF(ISNUMBER(SEARCH("・"&amp;H68&amp;"・","・"&amp;'職員マスター'!N67&amp;"・")),0,1)))+IF(OR(I68="休",I68="有",I68="明"),0,IF(I68="統",IF('職員マスター'!M67="可",0,1),IF(ISNUMBER(SEARCH("・"&amp;I68&amp;"・","・"&amp;'職員マスター'!N67&amp;"・")),0,1)))+IF(OR(J68="休",J68="有",J68="明"),0,IF(J68="統",IF('職員マスター'!M67="可",0,1),IF(ISNUMBER(SEARCH("・"&amp;J68&amp;"・","・"&amp;'職員マスター'!N67&amp;"・")),0,1)))</x:f>
        <x:v>0</x:v>
      </x:c>
      <x:c r="Q68" s="56" t="n">
        <x:f>IF(OR(C68="夜",C68="統"),IF(D68="明",0,1),IF(D68="明",1,0))+IF(OR(D68="夜",D68="統"),IF(E68="明",0,1),IF(E68="明",1,0))+IF(OR(E68="夜",E68="統"),IF(F68="明",0,1),IF(F68="明",1,0))+IF(OR(F68="夜",F68="統"),IF(G68="明",0,1),IF(G68="明",1,0))+IF(OR(G68="夜",G68="統"),IF(H68="明",0,1),IF(H68="明",1,0))+IF(OR(H68="夜",H68="統"),IF(I68="明",0,1),IF(I68="明",1,0))+IF(OR(I68="夜",I68="統"),IF(J68="明",0,1),IF(J68="明",1,0))</x:f>
        <x:v>0</x:v>
      </x:c>
    </x:row>
    <x:row r="69" ht="26" customHeight="1">
      <x:c r="A69" s="56" t="str">
        <x:v>3F-15</x:v>
      </x:c>
      <x:c r="B69" s="56" t="str">
        <x:v>3F</x:v>
      </x:c>
      <x:c r="C69" s="80" t="str">
        <x:v>休</x:v>
      </x:c>
      <x:c r="D69" s="80" t="str">
        <x:v>休</x:v>
      </x:c>
      <x:c r="E69" s="80" t="str">
        <x:v>遅</x:v>
      </x:c>
      <x:c r="F69" s="80" t="str">
        <x:v>休</x:v>
      </x:c>
      <x:c r="G69" s="80" t="str">
        <x:v>遅</x:v>
      </x:c>
      <x:c r="H69" s="80" t="str">
        <x:v>遅</x:v>
      </x:c>
      <x:c r="I69" s="80" t="str">
        <x:v>休</x:v>
      </x:c>
      <x:c r="J69" s="80" t="str">
        <x:v>遅</x:v>
      </x:c>
      <x:c r="K69" s="80" t="str">
        <x:v>休</x:v>
      </x:c>
      <x:c r="L69" s="72" t="n">
        <x:f>COUNTIFS(D69:J69,"早")*'勤務区分'!$G$6+COUNTIFS(D69:J69,"遅")*'勤務区分'!$G$7+COUNTIFS(D69:J69,"日")*'勤務区分'!$G$8+COUNTIFS(D69:J69,"午")*'勤務区分'!$G$9+COUNTIFS(D69:J69,"後")*'勤務区分'!$G$10+COUNTIFS(D69:J69,"短A")*'勤務区分'!$G$11+COUNTIFS(D69:J69,"短B")*'勤務区分'!$G$12+(COUNTIFS(D69:J69,"夜")+COUNTIFS(D69:J69,"統"))*'勤務区分'!$G$13</x:f>
        <x:v>31.999999999999993</x:v>
      </x:c>
      <x:c r="M69" s="72" t="n">
        <x:f>'職員マスター'!O68</x:f>
        <x:v>40</x:v>
      </x:c>
      <x:c r="N69" s="72" t="n">
        <x:f>MAX(0,L69-M69)</x:f>
        <x:v>0</x:v>
      </x:c>
      <x:c r="O69" s="56" t="n">
        <x:f>IF('職員マスター'!F68="不可",COUNTIFS(D69:J69,"夜")+COUNTIFS(D69:J69,"統"),0)</x:f>
        <x:v>0</x:v>
      </x:c>
      <x:c r="P69" s="56" t="n">
        <x:f>IF(OR(D69="休",D69="有",D69="明"),0,IF(D69="統",IF('職員マスター'!M68="可",0,1),IF(ISNUMBER(SEARCH("・"&amp;D69&amp;"・","・"&amp;'職員マスター'!N68&amp;"・")),0,1)))+IF(OR(E69="休",E69="有",E69="明"),0,IF(E69="統",IF('職員マスター'!M68="可",0,1),IF(ISNUMBER(SEARCH("・"&amp;E69&amp;"・","・"&amp;'職員マスター'!N68&amp;"・")),0,1)))+IF(OR(F69="休",F69="有",F69="明"),0,IF(F69="統",IF('職員マスター'!M68="可",0,1),IF(ISNUMBER(SEARCH("・"&amp;F69&amp;"・","・"&amp;'職員マスター'!N68&amp;"・")),0,1)))+IF(OR(G69="休",G69="有",G69="明"),0,IF(G69="統",IF('職員マスター'!M68="可",0,1),IF(ISNUMBER(SEARCH("・"&amp;G69&amp;"・","・"&amp;'職員マスター'!N68&amp;"・")),0,1)))+IF(OR(H69="休",H69="有",H69="明"),0,IF(H69="統",IF('職員マスター'!M68="可",0,1),IF(ISNUMBER(SEARCH("・"&amp;H69&amp;"・","・"&amp;'職員マスター'!N68&amp;"・")),0,1)))+IF(OR(I69="休",I69="有",I69="明"),0,IF(I69="統",IF('職員マスター'!M68="可",0,1),IF(ISNUMBER(SEARCH("・"&amp;I69&amp;"・","・"&amp;'職員マスター'!N68&amp;"・")),0,1)))+IF(OR(J69="休",J69="有",J69="明"),0,IF(J69="統",IF('職員マスター'!M68="可",0,1),IF(ISNUMBER(SEARCH("・"&amp;J69&amp;"・","・"&amp;'職員マスター'!N68&amp;"・")),0,1)))</x:f>
        <x:v>0</x:v>
      </x:c>
      <x:c r="Q69" s="56" t="n">
        <x:f>IF(OR(C69="夜",C69="統"),IF(D69="明",0,1),IF(D69="明",1,0))+IF(OR(D69="夜",D69="統"),IF(E69="明",0,1),IF(E69="明",1,0))+IF(OR(E69="夜",E69="統"),IF(F69="明",0,1),IF(F69="明",1,0))+IF(OR(F69="夜",F69="統"),IF(G69="明",0,1),IF(G69="明",1,0))+IF(OR(G69="夜",G69="統"),IF(H69="明",0,1),IF(H69="明",1,0))+IF(OR(H69="夜",H69="統"),IF(I69="明",0,1),IF(I69="明",1,0))+IF(OR(I69="夜",I69="統"),IF(J69="明",0,1),IF(J69="明",1,0))</x:f>
        <x:v>0</x:v>
      </x:c>
    </x:row>
    <x:row r="70" ht="26" customHeight="1">
      <x:c r="A70" s="56" t="str">
        <x:v>3F-16</x:v>
      </x:c>
      <x:c r="B70" s="56" t="str">
        <x:v>3F</x:v>
      </x:c>
      <x:c r="C70" s="80" t="str">
        <x:v>休</x:v>
      </x:c>
      <x:c r="D70" s="80" t="str">
        <x:v>休</x:v>
      </x:c>
      <x:c r="E70" s="80" t="str">
        <x:v>遅</x:v>
      </x:c>
      <x:c r="F70" s="80" t="str">
        <x:v>休</x:v>
      </x:c>
      <x:c r="G70" s="80" t="str">
        <x:v>遅</x:v>
      </x:c>
      <x:c r="H70" s="80" t="str">
        <x:v>休</x:v>
      </x:c>
      <x:c r="I70" s="80" t="str">
        <x:v>早</x:v>
      </x:c>
      <x:c r="J70" s="80" t="str">
        <x:v>休</x:v>
      </x:c>
      <x:c r="K70" s="80" t="str">
        <x:v>休</x:v>
      </x:c>
      <x:c r="L70" s="72" t="n">
        <x:f>COUNTIFS(D70:J70,"早")*'勤務区分'!$G$6+COUNTIFS(D70:J70,"遅")*'勤務区分'!$G$7+COUNTIFS(D70:J70,"日")*'勤務区分'!$G$8+COUNTIFS(D70:J70,"午")*'勤務区分'!$G$9+COUNTIFS(D70:J70,"後")*'勤務区分'!$G$10+COUNTIFS(D70:J70,"短A")*'勤務区分'!$G$11+COUNTIFS(D70:J70,"短B")*'勤務区分'!$G$12+(COUNTIFS(D70:J70,"夜")+COUNTIFS(D70:J70,"統"))*'勤務区分'!$G$13</x:f>
        <x:v>23.999999999999993</x:v>
      </x:c>
      <x:c r="M70" s="72" t="n">
        <x:f>'職員マスター'!O69</x:f>
        <x:v>40</x:v>
      </x:c>
      <x:c r="N70" s="72" t="n">
        <x:f>MAX(0,L70-M70)</x:f>
        <x:v>0</x:v>
      </x:c>
      <x:c r="O70" s="56" t="n">
        <x:f>IF('職員マスター'!F69="不可",COUNTIFS(D70:J70,"夜")+COUNTIFS(D70:J70,"統"),0)</x:f>
        <x:v>0</x:v>
      </x:c>
      <x:c r="P70" s="56" t="n">
        <x:f>IF(OR(D70="休",D70="有",D70="明"),0,IF(D70="統",IF('職員マスター'!M69="可",0,1),IF(ISNUMBER(SEARCH("・"&amp;D70&amp;"・","・"&amp;'職員マスター'!N69&amp;"・")),0,1)))+IF(OR(E70="休",E70="有",E70="明"),0,IF(E70="統",IF('職員マスター'!M69="可",0,1),IF(ISNUMBER(SEARCH("・"&amp;E70&amp;"・","・"&amp;'職員マスター'!N69&amp;"・")),0,1)))+IF(OR(F70="休",F70="有",F70="明"),0,IF(F70="統",IF('職員マスター'!M69="可",0,1),IF(ISNUMBER(SEARCH("・"&amp;F70&amp;"・","・"&amp;'職員マスター'!N69&amp;"・")),0,1)))+IF(OR(G70="休",G70="有",G70="明"),0,IF(G70="統",IF('職員マスター'!M69="可",0,1),IF(ISNUMBER(SEARCH("・"&amp;G70&amp;"・","・"&amp;'職員マスター'!N69&amp;"・")),0,1)))+IF(OR(H70="休",H70="有",H70="明"),0,IF(H70="統",IF('職員マスター'!M69="可",0,1),IF(ISNUMBER(SEARCH("・"&amp;H70&amp;"・","・"&amp;'職員マスター'!N69&amp;"・")),0,1)))+IF(OR(I70="休",I70="有",I70="明"),0,IF(I70="統",IF('職員マスター'!M69="可",0,1),IF(ISNUMBER(SEARCH("・"&amp;I70&amp;"・","・"&amp;'職員マスター'!N69&amp;"・")),0,1)))+IF(OR(J70="休",J70="有",J70="明"),0,IF(J70="統",IF('職員マスター'!M69="可",0,1),IF(ISNUMBER(SEARCH("・"&amp;J70&amp;"・","・"&amp;'職員マスター'!N69&amp;"・")),0,1)))</x:f>
        <x:v>0</x:v>
      </x:c>
      <x:c r="Q70" s="56" t="n">
        <x:f>IF(OR(C70="夜",C70="統"),IF(D70="明",0,1),IF(D70="明",1,0))+IF(OR(D70="夜",D70="統"),IF(E70="明",0,1),IF(E70="明",1,0))+IF(OR(E70="夜",E70="統"),IF(F70="明",0,1),IF(F70="明",1,0))+IF(OR(F70="夜",F70="統"),IF(G70="明",0,1),IF(G70="明",1,0))+IF(OR(G70="夜",G70="統"),IF(H70="明",0,1),IF(H70="明",1,0))+IF(OR(H70="夜",H70="統"),IF(I70="明",0,1),IF(I70="明",1,0))+IF(OR(I70="夜",I70="統"),IF(J70="明",0,1),IF(J70="明",1,0))</x:f>
        <x:v>0</x:v>
      </x:c>
    </x:row>
    <x:row r="71" ht="26" customHeight="1">
      <x:c r="A71" s="56" t="str">
        <x:v>3F-17</x:v>
      </x:c>
      <x:c r="B71" s="56" t="str">
        <x:v>3F</x:v>
      </x:c>
      <x:c r="C71" s="80" t="str">
        <x:v>休</x:v>
      </x:c>
      <x:c r="D71" s="80" t="str">
        <x:v>午</x:v>
      </x:c>
      <x:c r="E71" s="80" t="str">
        <x:v>休</x:v>
      </x:c>
      <x:c r="F71" s="80" t="str">
        <x:v>休</x:v>
      </x:c>
      <x:c r="G71" s="80" t="str">
        <x:v>午</x:v>
      </x:c>
      <x:c r="H71" s="80" t="str">
        <x:v>休</x:v>
      </x:c>
      <x:c r="I71" s="80" t="str">
        <x:v>休</x:v>
      </x:c>
      <x:c r="J71" s="80" t="str">
        <x:v>午</x:v>
      </x:c>
      <x:c r="K71" s="80" t="str">
        <x:v>休</x:v>
      </x:c>
      <x:c r="L71" s="72" t="n">
        <x:f>COUNTIFS(D71:J71,"早")*'勤務区分'!$G$6+COUNTIFS(D71:J71,"遅")*'勤務区分'!$G$7+COUNTIFS(D71:J71,"日")*'勤務区分'!$G$8+COUNTIFS(D71:J71,"午")*'勤務区分'!$G$9+COUNTIFS(D71:J71,"後")*'勤務区分'!$G$10+COUNTIFS(D71:J71,"短A")*'勤務区分'!$G$11+COUNTIFS(D71:J71,"短B")*'勤務区分'!$G$12+(COUNTIFS(D71:J71,"夜")+COUNTIFS(D71:J71,"統"))*'勤務区分'!$G$13</x:f>
        <x:v>11.999999999999996</x:v>
      </x:c>
      <x:c r="M71" s="72" t="n">
        <x:f>'職員マスター'!O70</x:f>
        <x:v>12</x:v>
      </x:c>
      <x:c r="N71" s="72" t="n">
        <x:f>MAX(0,L71-M71)</x:f>
        <x:v>0</x:v>
      </x:c>
      <x:c r="O71" s="56" t="n">
        <x:f>IF('職員マスター'!F70="不可",COUNTIFS(D71:J71,"夜")+COUNTIFS(D71:J71,"統"),0)</x:f>
        <x:v>0</x:v>
      </x:c>
      <x:c r="P71" s="56" t="n">
        <x:f>IF(OR(D71="休",D71="有",D71="明"),0,IF(D71="統",IF('職員マスター'!M70="可",0,1),IF(ISNUMBER(SEARCH("・"&amp;D71&amp;"・","・"&amp;'職員マスター'!N70&amp;"・")),0,1)))+IF(OR(E71="休",E71="有",E71="明"),0,IF(E71="統",IF('職員マスター'!M70="可",0,1),IF(ISNUMBER(SEARCH("・"&amp;E71&amp;"・","・"&amp;'職員マスター'!N70&amp;"・")),0,1)))+IF(OR(F71="休",F71="有",F71="明"),0,IF(F71="統",IF('職員マスター'!M70="可",0,1),IF(ISNUMBER(SEARCH("・"&amp;F71&amp;"・","・"&amp;'職員マスター'!N70&amp;"・")),0,1)))+IF(OR(G71="休",G71="有",G71="明"),0,IF(G71="統",IF('職員マスター'!M70="可",0,1),IF(ISNUMBER(SEARCH("・"&amp;G71&amp;"・","・"&amp;'職員マスター'!N70&amp;"・")),0,1)))+IF(OR(H71="休",H71="有",H71="明"),0,IF(H71="統",IF('職員マスター'!M70="可",0,1),IF(ISNUMBER(SEARCH("・"&amp;H71&amp;"・","・"&amp;'職員マスター'!N70&amp;"・")),0,1)))+IF(OR(I71="休",I71="有",I71="明"),0,IF(I71="統",IF('職員マスター'!M70="可",0,1),IF(ISNUMBER(SEARCH("・"&amp;I71&amp;"・","・"&amp;'職員マスター'!N70&amp;"・")),0,1)))+IF(OR(J71="休",J71="有",J71="明"),0,IF(J71="統",IF('職員マスター'!M70="可",0,1),IF(ISNUMBER(SEARCH("・"&amp;J71&amp;"・","・"&amp;'職員マスター'!N70&amp;"・")),0,1)))</x:f>
        <x:v>0</x:v>
      </x:c>
      <x:c r="Q71" s="56" t="n">
        <x:f>IF(OR(C71="夜",C71="統"),IF(D71="明",0,1),IF(D71="明",1,0))+IF(OR(D71="夜",D71="統"),IF(E71="明",0,1),IF(E71="明",1,0))+IF(OR(E71="夜",E71="統"),IF(F71="明",0,1),IF(F71="明",1,0))+IF(OR(F71="夜",F71="統"),IF(G71="明",0,1),IF(G71="明",1,0))+IF(OR(G71="夜",G71="統"),IF(H71="明",0,1),IF(H71="明",1,0))+IF(OR(H71="夜",H71="統"),IF(I71="明",0,1),IF(I71="明",1,0))+IF(OR(I71="夜",I71="統"),IF(J71="明",0,1),IF(J71="明",1,0))</x:f>
        <x:v>0</x:v>
      </x:c>
    </x:row>
    <x:row r="72" ht="26" customHeight="1">
      <x:c r="A72" s="56" t="str">
        <x:v>3F-18</x:v>
      </x:c>
      <x:c r="B72" s="56" t="str">
        <x:v>3F</x:v>
      </x:c>
      <x:c r="C72" s="80" t="str">
        <x:v>休</x:v>
      </x:c>
      <x:c r="D72" s="80" t="str">
        <x:v>休</x:v>
      </x:c>
      <x:c r="E72" s="80" t="str">
        <x:v>休</x:v>
      </x:c>
      <x:c r="F72" s="80" t="str">
        <x:v>後</x:v>
      </x:c>
      <x:c r="G72" s="80" t="str">
        <x:v>休</x:v>
      </x:c>
      <x:c r="H72" s="80" t="str">
        <x:v>休</x:v>
      </x:c>
      <x:c r="I72" s="80" t="str">
        <x:v>後</x:v>
      </x:c>
      <x:c r="J72" s="80" t="str">
        <x:v>休</x:v>
      </x:c>
      <x:c r="K72" s="80" t="str">
        <x:v>休</x:v>
      </x:c>
      <x:c r="L72" s="72" t="n">
        <x:f>COUNTIFS(D72:J72,"早")*'勤務区分'!$G$6+COUNTIFS(D72:J72,"遅")*'勤務区分'!$G$7+COUNTIFS(D72:J72,"日")*'勤務区分'!$G$8+COUNTIFS(D72:J72,"午")*'勤務区分'!$G$9+COUNTIFS(D72:J72,"後")*'勤務区分'!$G$10+COUNTIFS(D72:J72,"短A")*'勤務区分'!$G$11+COUNTIFS(D72:J72,"短B")*'勤務区分'!$G$12+(COUNTIFS(D72:J72,"夜")+COUNTIFS(D72:J72,"統"))*'勤務区分'!$G$13</x:f>
        <x:v>7.999999999999998</x:v>
      </x:c>
      <x:c r="M72" s="72" t="n">
        <x:f>'職員マスター'!O71</x:f>
        <x:v>12</x:v>
      </x:c>
      <x:c r="N72" s="72" t="n">
        <x:f>MAX(0,L72-M72)</x:f>
        <x:v>0</x:v>
      </x:c>
      <x:c r="O72" s="56" t="n">
        <x:f>IF('職員マスター'!F71="不可",COUNTIFS(D72:J72,"夜")+COUNTIFS(D72:J72,"統"),0)</x:f>
        <x:v>0</x:v>
      </x:c>
      <x:c r="P72" s="56" t="n">
        <x:f>IF(OR(D72="休",D72="有",D72="明"),0,IF(D72="統",IF('職員マスター'!M71="可",0,1),IF(ISNUMBER(SEARCH("・"&amp;D72&amp;"・","・"&amp;'職員マスター'!N71&amp;"・")),0,1)))+IF(OR(E72="休",E72="有",E72="明"),0,IF(E72="統",IF('職員マスター'!M71="可",0,1),IF(ISNUMBER(SEARCH("・"&amp;E72&amp;"・","・"&amp;'職員マスター'!N71&amp;"・")),0,1)))+IF(OR(F72="休",F72="有",F72="明"),0,IF(F72="統",IF('職員マスター'!M71="可",0,1),IF(ISNUMBER(SEARCH("・"&amp;F72&amp;"・","・"&amp;'職員マスター'!N71&amp;"・")),0,1)))+IF(OR(G72="休",G72="有",G72="明"),0,IF(G72="統",IF('職員マスター'!M71="可",0,1),IF(ISNUMBER(SEARCH("・"&amp;G72&amp;"・","・"&amp;'職員マスター'!N71&amp;"・")),0,1)))+IF(OR(H72="休",H72="有",H72="明"),0,IF(H72="統",IF('職員マスター'!M71="可",0,1),IF(ISNUMBER(SEARCH("・"&amp;H72&amp;"・","・"&amp;'職員マスター'!N71&amp;"・")),0,1)))+IF(OR(I72="休",I72="有",I72="明"),0,IF(I72="統",IF('職員マスター'!M71="可",0,1),IF(ISNUMBER(SEARCH("・"&amp;I72&amp;"・","・"&amp;'職員マスター'!N71&amp;"・")),0,1)))+IF(OR(J72="休",J72="有",J72="明"),0,IF(J72="統",IF('職員マスター'!M71="可",0,1),IF(ISNUMBER(SEARCH("・"&amp;J72&amp;"・","・"&amp;'職員マスター'!N71&amp;"・")),0,1)))</x:f>
        <x:v>0</x:v>
      </x:c>
      <x:c r="Q72" s="56" t="n">
        <x:f>IF(OR(C72="夜",C72="統"),IF(D72="明",0,1),IF(D72="明",1,0))+IF(OR(D72="夜",D72="統"),IF(E72="明",0,1),IF(E72="明",1,0))+IF(OR(E72="夜",E72="統"),IF(F72="明",0,1),IF(F72="明",1,0))+IF(OR(F72="夜",F72="統"),IF(G72="明",0,1),IF(G72="明",1,0))+IF(OR(G72="夜",G72="統"),IF(H72="明",0,1),IF(H72="明",1,0))+IF(OR(H72="夜",H72="統"),IF(I72="明",0,1),IF(I72="明",1,0))+IF(OR(I72="夜",I72="統"),IF(J72="明",0,1),IF(J72="明",1,0))</x:f>
        <x:v>0</x:v>
      </x:c>
    </x:row>
    <x:row r="73" ht="26" customHeight="1">
      <x:c r="A73" s="56" t="str">
        <x:v>3F-19</x:v>
      </x:c>
      <x:c r="B73" s="56" t="str">
        <x:v>3F</x:v>
      </x:c>
      <x:c r="C73" s="80" t="str">
        <x:v>休</x:v>
      </x:c>
      <x:c r="D73" s="80" t="str">
        <x:v>休</x:v>
      </x:c>
      <x:c r="E73" s="80" t="str">
        <x:v>午</x:v>
      </x:c>
      <x:c r="F73" s="80" t="str">
        <x:v>休</x:v>
      </x:c>
      <x:c r="G73" s="80" t="str">
        <x:v>休</x:v>
      </x:c>
      <x:c r="H73" s="80" t="str">
        <x:v>午</x:v>
      </x:c>
      <x:c r="I73" s="80" t="str">
        <x:v>休</x:v>
      </x:c>
      <x:c r="J73" s="80" t="str">
        <x:v>休</x:v>
      </x:c>
      <x:c r="K73" s="80" t="str">
        <x:v>休</x:v>
      </x:c>
      <x:c r="L73" s="72" t="n">
        <x:f>COUNTIFS(D73:J73,"早")*'勤務区分'!$G$6+COUNTIFS(D73:J73,"遅")*'勤務区分'!$G$7+COUNTIFS(D73:J73,"日")*'勤務区分'!$G$8+COUNTIFS(D73:J73,"午")*'勤務区分'!$G$9+COUNTIFS(D73:J73,"後")*'勤務区分'!$G$10+COUNTIFS(D73:J73,"短A")*'勤務区分'!$G$11+COUNTIFS(D73:J73,"短B")*'勤務区分'!$G$12+(COUNTIFS(D73:J73,"夜")+COUNTIFS(D73:J73,"統"))*'勤務区分'!$G$13</x:f>
        <x:v>7.999999999999998</x:v>
      </x:c>
      <x:c r="M73" s="72" t="n">
        <x:f>'職員マスター'!O72</x:f>
        <x:v>12</x:v>
      </x:c>
      <x:c r="N73" s="72" t="n">
        <x:f>MAX(0,L73-M73)</x:f>
        <x:v>0</x:v>
      </x:c>
      <x:c r="O73" s="56" t="n">
        <x:f>IF('職員マスター'!F72="不可",COUNTIFS(D73:J73,"夜")+COUNTIFS(D73:J73,"統"),0)</x:f>
        <x:v>0</x:v>
      </x:c>
      <x:c r="P73" s="56" t="n">
        <x:f>IF(OR(D73="休",D73="有",D73="明"),0,IF(D73="統",IF('職員マスター'!M72="可",0,1),IF(ISNUMBER(SEARCH("・"&amp;D73&amp;"・","・"&amp;'職員マスター'!N72&amp;"・")),0,1)))+IF(OR(E73="休",E73="有",E73="明"),0,IF(E73="統",IF('職員マスター'!M72="可",0,1),IF(ISNUMBER(SEARCH("・"&amp;E73&amp;"・","・"&amp;'職員マスター'!N72&amp;"・")),0,1)))+IF(OR(F73="休",F73="有",F73="明"),0,IF(F73="統",IF('職員マスター'!M72="可",0,1),IF(ISNUMBER(SEARCH("・"&amp;F73&amp;"・","・"&amp;'職員マスター'!N72&amp;"・")),0,1)))+IF(OR(G73="休",G73="有",G73="明"),0,IF(G73="統",IF('職員マスター'!M72="可",0,1),IF(ISNUMBER(SEARCH("・"&amp;G73&amp;"・","・"&amp;'職員マスター'!N72&amp;"・")),0,1)))+IF(OR(H73="休",H73="有",H73="明"),0,IF(H73="統",IF('職員マスター'!M72="可",0,1),IF(ISNUMBER(SEARCH("・"&amp;H73&amp;"・","・"&amp;'職員マスター'!N72&amp;"・")),0,1)))+IF(OR(I73="休",I73="有",I73="明"),0,IF(I73="統",IF('職員マスター'!M72="可",0,1),IF(ISNUMBER(SEARCH("・"&amp;I73&amp;"・","・"&amp;'職員マスター'!N72&amp;"・")),0,1)))+IF(OR(J73="休",J73="有",J73="明"),0,IF(J73="統",IF('職員マスター'!M72="可",0,1),IF(ISNUMBER(SEARCH("・"&amp;J73&amp;"・","・"&amp;'職員マスター'!N72&amp;"・")),0,1)))</x:f>
        <x:v>0</x:v>
      </x:c>
      <x:c r="Q73" s="56" t="n">
        <x:f>IF(OR(C73="夜",C73="統"),IF(D73="明",0,1),IF(D73="明",1,0))+IF(OR(D73="夜",D73="統"),IF(E73="明",0,1),IF(E73="明",1,0))+IF(OR(E73="夜",E73="統"),IF(F73="明",0,1),IF(F73="明",1,0))+IF(OR(F73="夜",F73="統"),IF(G73="明",0,1),IF(G73="明",1,0))+IF(OR(G73="夜",G73="統"),IF(H73="明",0,1),IF(H73="明",1,0))+IF(OR(H73="夜",H73="統"),IF(I73="明",0,1),IF(I73="明",1,0))+IF(OR(I73="夜",I73="統"),IF(J73="明",0,1),IF(J73="明",1,0))</x:f>
        <x:v>0</x:v>
      </x:c>
    </x:row>
    <x:row r="74" ht="26" customHeight="1">
      <x:c r="A74" s="56" t="str">
        <x:v>3F-20</x:v>
      </x:c>
      <x:c r="B74" s="56" t="str">
        <x:v>3F</x:v>
      </x:c>
      <x:c r="C74" s="80" t="str">
        <x:v>休</x:v>
      </x:c>
      <x:c r="D74" s="80" t="str">
        <x:v>後</x:v>
      </x:c>
      <x:c r="E74" s="80" t="str">
        <x:v>休</x:v>
      </x:c>
      <x:c r="F74" s="80" t="str">
        <x:v>休</x:v>
      </x:c>
      <x:c r="G74" s="80" t="str">
        <x:v>後</x:v>
      </x:c>
      <x:c r="H74" s="80" t="str">
        <x:v>休</x:v>
      </x:c>
      <x:c r="I74" s="80" t="str">
        <x:v>休</x:v>
      </x:c>
      <x:c r="J74" s="80" t="str">
        <x:v>後</x:v>
      </x:c>
      <x:c r="K74" s="80" t="str">
        <x:v>休</x:v>
      </x:c>
      <x:c r="L74" s="72" t="n">
        <x:f>COUNTIFS(D74:J74,"早")*'勤務区分'!$G$6+COUNTIFS(D74:J74,"遅")*'勤務区分'!$G$7+COUNTIFS(D74:J74,"日")*'勤務区分'!$G$8+COUNTIFS(D74:J74,"午")*'勤務区分'!$G$9+COUNTIFS(D74:J74,"後")*'勤務区分'!$G$10+COUNTIFS(D74:J74,"短A")*'勤務区分'!$G$11+COUNTIFS(D74:J74,"短B")*'勤務区分'!$G$12+(COUNTIFS(D74:J74,"夜")+COUNTIFS(D74:J74,"統"))*'勤務区分'!$G$13</x:f>
        <x:v>11.999999999999996</x:v>
      </x:c>
      <x:c r="M74" s="72" t="n">
        <x:f>'職員マスター'!O73</x:f>
        <x:v>12</x:v>
      </x:c>
      <x:c r="N74" s="72" t="n">
        <x:f>MAX(0,L74-M74)</x:f>
        <x:v>0</x:v>
      </x:c>
      <x:c r="O74" s="56" t="n">
        <x:f>IF('職員マスター'!F73="不可",COUNTIFS(D74:J74,"夜")+COUNTIFS(D74:J74,"統"),0)</x:f>
        <x:v>0</x:v>
      </x:c>
      <x:c r="P74" s="56" t="n">
        <x:f>IF(OR(D74="休",D74="有",D74="明"),0,IF(D74="統",IF('職員マスター'!M73="可",0,1),IF(ISNUMBER(SEARCH("・"&amp;D74&amp;"・","・"&amp;'職員マスター'!N73&amp;"・")),0,1)))+IF(OR(E74="休",E74="有",E74="明"),0,IF(E74="統",IF('職員マスター'!M73="可",0,1),IF(ISNUMBER(SEARCH("・"&amp;E74&amp;"・","・"&amp;'職員マスター'!N73&amp;"・")),0,1)))+IF(OR(F74="休",F74="有",F74="明"),0,IF(F74="統",IF('職員マスター'!M73="可",0,1),IF(ISNUMBER(SEARCH("・"&amp;F74&amp;"・","・"&amp;'職員マスター'!N73&amp;"・")),0,1)))+IF(OR(G74="休",G74="有",G74="明"),0,IF(G74="統",IF('職員マスター'!M73="可",0,1),IF(ISNUMBER(SEARCH("・"&amp;G74&amp;"・","・"&amp;'職員マスター'!N73&amp;"・")),0,1)))+IF(OR(H74="休",H74="有",H74="明"),0,IF(H74="統",IF('職員マスター'!M73="可",0,1),IF(ISNUMBER(SEARCH("・"&amp;H74&amp;"・","・"&amp;'職員マスター'!N73&amp;"・")),0,1)))+IF(OR(I74="休",I74="有",I74="明"),0,IF(I74="統",IF('職員マスター'!M73="可",0,1),IF(ISNUMBER(SEARCH("・"&amp;I74&amp;"・","・"&amp;'職員マスター'!N73&amp;"・")),0,1)))+IF(OR(J74="休",J74="有",J74="明"),0,IF(J74="統",IF('職員マスター'!M73="可",0,1),IF(ISNUMBER(SEARCH("・"&amp;J74&amp;"・","・"&amp;'職員マスター'!N73&amp;"・")),0,1)))</x:f>
        <x:v>0</x:v>
      </x:c>
      <x:c r="Q74" s="56" t="n">
        <x:f>IF(OR(C74="夜",C74="統"),IF(D74="明",0,1),IF(D74="明",1,0))+IF(OR(D74="夜",D74="統"),IF(E74="明",0,1),IF(E74="明",1,0))+IF(OR(E74="夜",E74="統"),IF(F74="明",0,1),IF(F74="明",1,0))+IF(OR(F74="夜",F74="統"),IF(G74="明",0,1),IF(G74="明",1,0))+IF(OR(G74="夜",G74="統"),IF(H74="明",0,1),IF(H74="明",1,0))+IF(OR(H74="夜",H74="統"),IF(I74="明",0,1),IF(I74="明",1,0))+IF(OR(I74="夜",I74="統"),IF(J74="明",0,1),IF(J74="明",1,0))</x:f>
        <x:v>0</x:v>
      </x:c>
    </x:row>
    <x:row r="75" ht="26" customHeight="1">
      <x:c r="A75" s="56" t="str">
        <x:v>3F-21</x:v>
      </x:c>
      <x:c r="B75" s="56" t="str">
        <x:v>3F</x:v>
      </x:c>
      <x:c r="C75" s="80" t="str">
        <x:v>休</x:v>
      </x:c>
      <x:c r="D75" s="80" t="str">
        <x:v>休</x:v>
      </x:c>
      <x:c r="E75" s="80" t="str">
        <x:v>休</x:v>
      </x:c>
      <x:c r="F75" s="80" t="str">
        <x:v>午</x:v>
      </x:c>
      <x:c r="G75" s="80" t="str">
        <x:v>休</x:v>
      </x:c>
      <x:c r="H75" s="80" t="str">
        <x:v>休</x:v>
      </x:c>
      <x:c r="I75" s="80" t="str">
        <x:v>午</x:v>
      </x:c>
      <x:c r="J75" s="80" t="str">
        <x:v>休</x:v>
      </x:c>
      <x:c r="K75" s="80" t="str">
        <x:v>休</x:v>
      </x:c>
      <x:c r="L75" s="72" t="n">
        <x:f>COUNTIFS(D75:J75,"早")*'勤務区分'!$G$6+COUNTIFS(D75:J75,"遅")*'勤務区分'!$G$7+COUNTIFS(D75:J75,"日")*'勤務区分'!$G$8+COUNTIFS(D75:J75,"午")*'勤務区分'!$G$9+COUNTIFS(D75:J75,"後")*'勤務区分'!$G$10+COUNTIFS(D75:J75,"短A")*'勤務区分'!$G$11+COUNTIFS(D75:J75,"短B")*'勤務区分'!$G$12+(COUNTIFS(D75:J75,"夜")+COUNTIFS(D75:J75,"統"))*'勤務区分'!$G$13</x:f>
        <x:v>7.999999999999998</x:v>
      </x:c>
      <x:c r="M75" s="72" t="n">
        <x:f>'職員マスター'!O74</x:f>
        <x:v>12</x:v>
      </x:c>
      <x:c r="N75" s="72" t="n">
        <x:f>MAX(0,L75-M75)</x:f>
        <x:v>0</x:v>
      </x:c>
      <x:c r="O75" s="56" t="n">
        <x:f>IF('職員マスター'!F74="不可",COUNTIFS(D75:J75,"夜")+COUNTIFS(D75:J75,"統"),0)</x:f>
        <x:v>0</x:v>
      </x:c>
      <x:c r="P75" s="56" t="n">
        <x:f>IF(OR(D75="休",D75="有",D75="明"),0,IF(D75="統",IF('職員マスター'!M74="可",0,1),IF(ISNUMBER(SEARCH("・"&amp;D75&amp;"・","・"&amp;'職員マスター'!N74&amp;"・")),0,1)))+IF(OR(E75="休",E75="有",E75="明"),0,IF(E75="統",IF('職員マスター'!M74="可",0,1),IF(ISNUMBER(SEARCH("・"&amp;E75&amp;"・","・"&amp;'職員マスター'!N74&amp;"・")),0,1)))+IF(OR(F75="休",F75="有",F75="明"),0,IF(F75="統",IF('職員マスター'!M74="可",0,1),IF(ISNUMBER(SEARCH("・"&amp;F75&amp;"・","・"&amp;'職員マスター'!N74&amp;"・")),0,1)))+IF(OR(G75="休",G75="有",G75="明"),0,IF(G75="統",IF('職員マスター'!M74="可",0,1),IF(ISNUMBER(SEARCH("・"&amp;G75&amp;"・","・"&amp;'職員マスター'!N74&amp;"・")),0,1)))+IF(OR(H75="休",H75="有",H75="明"),0,IF(H75="統",IF('職員マスター'!M74="可",0,1),IF(ISNUMBER(SEARCH("・"&amp;H75&amp;"・","・"&amp;'職員マスター'!N74&amp;"・")),0,1)))+IF(OR(I75="休",I75="有",I75="明"),0,IF(I75="統",IF('職員マスター'!M74="可",0,1),IF(ISNUMBER(SEARCH("・"&amp;I75&amp;"・","・"&amp;'職員マスター'!N74&amp;"・")),0,1)))+IF(OR(J75="休",J75="有",J75="明"),0,IF(J75="統",IF('職員マスター'!M74="可",0,1),IF(ISNUMBER(SEARCH("・"&amp;J75&amp;"・","・"&amp;'職員マスター'!N74&amp;"・")),0,1)))</x:f>
        <x:v>0</x:v>
      </x:c>
      <x:c r="Q75" s="56" t="n">
        <x:f>IF(OR(C75="夜",C75="統"),IF(D75="明",0,1),IF(D75="明",1,0))+IF(OR(D75="夜",D75="統"),IF(E75="明",0,1),IF(E75="明",1,0))+IF(OR(E75="夜",E75="統"),IF(F75="明",0,1),IF(F75="明",1,0))+IF(OR(F75="夜",F75="統"),IF(G75="明",0,1),IF(G75="明",1,0))+IF(OR(G75="夜",G75="統"),IF(H75="明",0,1),IF(H75="明",1,0))+IF(OR(H75="夜",H75="統"),IF(I75="明",0,1),IF(I75="明",1,0))+IF(OR(I75="夜",I75="統"),IF(J75="明",0,1),IF(J75="明",1,0))</x:f>
        <x:v>0</x:v>
      </x:c>
    </x:row>
    <x:row r="76" ht="26" customHeight="1">
      <x:c r="A76" s="56" t="str">
        <x:v>3F-22</x:v>
      </x:c>
      <x:c r="B76" s="56" t="str">
        <x:v>3F</x:v>
      </x:c>
      <x:c r="C76" s="80" t="str">
        <x:v>休</x:v>
      </x:c>
      <x:c r="D76" s="80" t="str">
        <x:v>休</x:v>
      </x:c>
      <x:c r="E76" s="80" t="str">
        <x:v>後</x:v>
      </x:c>
      <x:c r="F76" s="80" t="str">
        <x:v>休</x:v>
      </x:c>
      <x:c r="G76" s="80" t="str">
        <x:v>休</x:v>
      </x:c>
      <x:c r="H76" s="80" t="str">
        <x:v>後</x:v>
      </x:c>
      <x:c r="I76" s="80" t="str">
        <x:v>休</x:v>
      </x:c>
      <x:c r="J76" s="80" t="str">
        <x:v>休</x:v>
      </x:c>
      <x:c r="K76" s="80" t="str">
        <x:v>休</x:v>
      </x:c>
      <x:c r="L76" s="72" t="n">
        <x:f>COUNTIFS(D76:J76,"早")*'勤務区分'!$G$6+COUNTIFS(D76:J76,"遅")*'勤務区分'!$G$7+COUNTIFS(D76:J76,"日")*'勤務区分'!$G$8+COUNTIFS(D76:J76,"午")*'勤務区分'!$G$9+COUNTIFS(D76:J76,"後")*'勤務区分'!$G$10+COUNTIFS(D76:J76,"短A")*'勤務区分'!$G$11+COUNTIFS(D76:J76,"短B")*'勤務区分'!$G$12+(COUNTIFS(D76:J76,"夜")+COUNTIFS(D76:J76,"統"))*'勤務区分'!$G$13</x:f>
        <x:v>7.999999999999998</x:v>
      </x:c>
      <x:c r="M76" s="72" t="n">
        <x:f>'職員マスター'!O75</x:f>
        <x:v>12</x:v>
      </x:c>
      <x:c r="N76" s="72" t="n">
        <x:f>MAX(0,L76-M76)</x:f>
        <x:v>0</x:v>
      </x:c>
      <x:c r="O76" s="56" t="n">
        <x:f>IF('職員マスター'!F75="不可",COUNTIFS(D76:J76,"夜")+COUNTIFS(D76:J76,"統"),0)</x:f>
        <x:v>0</x:v>
      </x:c>
      <x:c r="P76" s="56" t="n">
        <x:f>IF(OR(D76="休",D76="有",D76="明"),0,IF(D76="統",IF('職員マスター'!M75="可",0,1),IF(ISNUMBER(SEARCH("・"&amp;D76&amp;"・","・"&amp;'職員マスター'!N75&amp;"・")),0,1)))+IF(OR(E76="休",E76="有",E76="明"),0,IF(E76="統",IF('職員マスター'!M75="可",0,1),IF(ISNUMBER(SEARCH("・"&amp;E76&amp;"・","・"&amp;'職員マスター'!N75&amp;"・")),0,1)))+IF(OR(F76="休",F76="有",F76="明"),0,IF(F76="統",IF('職員マスター'!M75="可",0,1),IF(ISNUMBER(SEARCH("・"&amp;F76&amp;"・","・"&amp;'職員マスター'!N75&amp;"・")),0,1)))+IF(OR(G76="休",G76="有",G76="明"),0,IF(G76="統",IF('職員マスター'!M75="可",0,1),IF(ISNUMBER(SEARCH("・"&amp;G76&amp;"・","・"&amp;'職員マスター'!N75&amp;"・")),0,1)))+IF(OR(H76="休",H76="有",H76="明"),0,IF(H76="統",IF('職員マスター'!M75="可",0,1),IF(ISNUMBER(SEARCH("・"&amp;H76&amp;"・","・"&amp;'職員マスター'!N75&amp;"・")),0,1)))+IF(OR(I76="休",I76="有",I76="明"),0,IF(I76="統",IF('職員マスター'!M75="可",0,1),IF(ISNUMBER(SEARCH("・"&amp;I76&amp;"・","・"&amp;'職員マスター'!N75&amp;"・")),0,1)))+IF(OR(J76="休",J76="有",J76="明"),0,IF(J76="統",IF('職員マスター'!M75="可",0,1),IF(ISNUMBER(SEARCH("・"&amp;J76&amp;"・","・"&amp;'職員マスター'!N75&amp;"・")),0,1)))</x:f>
        <x:v>0</x:v>
      </x:c>
      <x:c r="Q76" s="56" t="n">
        <x:f>IF(OR(C76="夜",C76="統"),IF(D76="明",0,1),IF(D76="明",1,0))+IF(OR(D76="夜",D76="統"),IF(E76="明",0,1),IF(E76="明",1,0))+IF(OR(E76="夜",E76="統"),IF(F76="明",0,1),IF(F76="明",1,0))+IF(OR(F76="夜",F76="統"),IF(G76="明",0,1),IF(G76="明",1,0))+IF(OR(G76="夜",G76="統"),IF(H76="明",0,1),IF(H76="明",1,0))+IF(OR(H76="夜",H76="統"),IF(I76="明",0,1),IF(I76="明",1,0))+IF(OR(I76="夜",I76="統"),IF(J76="明",0,1),IF(J76="明",1,0))</x:f>
        <x:v>0</x:v>
      </x:c>
    </x:row>
    <x:row r="77" ht="26" customHeight="1">
      <x:c r="A77" s="56" t="str">
        <x:v>3F-23</x:v>
      </x:c>
      <x:c r="B77" s="56" t="str">
        <x:v>3F</x:v>
      </x:c>
      <x:c r="C77" s="80" t="str">
        <x:v>休</x:v>
      </x:c>
      <x:c r="D77" s="80" t="str">
        <x:v>休</x:v>
      </x:c>
      <x:c r="E77" s="80" t="str">
        <x:v>短A</x:v>
      </x:c>
      <x:c r="F77" s="80" t="str">
        <x:v>休</x:v>
      </x:c>
      <x:c r="G77" s="80" t="str">
        <x:v>休</x:v>
      </x:c>
      <x:c r="H77" s="80" t="str">
        <x:v>短A</x:v>
      </x:c>
      <x:c r="I77" s="80" t="str">
        <x:v>休</x:v>
      </x:c>
      <x:c r="J77" s="80" t="str">
        <x:v>休</x:v>
      </x:c>
      <x:c r="K77" s="80" t="str">
        <x:v>短A</x:v>
      </x:c>
      <x:c r="L77" s="72" t="n">
        <x:f>COUNTIFS(D77:J77,"早")*'勤務区分'!$G$6+COUNTIFS(D77:J77,"遅")*'勤務区分'!$G$7+COUNTIFS(D77:J77,"日")*'勤務区分'!$G$8+COUNTIFS(D77:J77,"午")*'勤務区分'!$G$9+COUNTIFS(D77:J77,"後")*'勤務区分'!$G$10+COUNTIFS(D77:J77,"短A")*'勤務区分'!$G$11+COUNTIFS(D77:J77,"短B")*'勤務区分'!$G$12+(COUNTIFS(D77:J77,"夜")+COUNTIFS(D77:J77,"統"))*'勤務区分'!$G$13</x:f>
        <x:v>6.000000000000005</x:v>
      </x:c>
      <x:c r="M77" s="72" t="n">
        <x:f>'職員マスター'!O76</x:f>
        <x:v>9</x:v>
      </x:c>
      <x:c r="N77" s="72" t="n">
        <x:f>MAX(0,L77-M77)</x:f>
        <x:v>0</x:v>
      </x:c>
      <x:c r="O77" s="56" t="n">
        <x:f>IF('職員マスター'!F76="不可",COUNTIFS(D77:J77,"夜")+COUNTIFS(D77:J77,"統"),0)</x:f>
        <x:v>0</x:v>
      </x:c>
      <x:c r="P77" s="56" t="n">
        <x:f>IF(OR(D77="休",D77="有",D77="明"),0,IF(D77="統",IF('職員マスター'!M76="可",0,1),IF(ISNUMBER(SEARCH("・"&amp;D77&amp;"・","・"&amp;'職員マスター'!N76&amp;"・")),0,1)))+IF(OR(E77="休",E77="有",E77="明"),0,IF(E77="統",IF('職員マスター'!M76="可",0,1),IF(ISNUMBER(SEARCH("・"&amp;E77&amp;"・","・"&amp;'職員マスター'!N76&amp;"・")),0,1)))+IF(OR(F77="休",F77="有",F77="明"),0,IF(F77="統",IF('職員マスター'!M76="可",0,1),IF(ISNUMBER(SEARCH("・"&amp;F77&amp;"・","・"&amp;'職員マスター'!N76&amp;"・")),0,1)))+IF(OR(G77="休",G77="有",G77="明"),0,IF(G77="統",IF('職員マスター'!M76="可",0,1),IF(ISNUMBER(SEARCH("・"&amp;G77&amp;"・","・"&amp;'職員マスター'!N76&amp;"・")),0,1)))+IF(OR(H77="休",H77="有",H77="明"),0,IF(H77="統",IF('職員マスター'!M76="可",0,1),IF(ISNUMBER(SEARCH("・"&amp;H77&amp;"・","・"&amp;'職員マスター'!N76&amp;"・")),0,1)))+IF(OR(I77="休",I77="有",I77="明"),0,IF(I77="統",IF('職員マスター'!M76="可",0,1),IF(ISNUMBER(SEARCH("・"&amp;I77&amp;"・","・"&amp;'職員マスター'!N76&amp;"・")),0,1)))+IF(OR(J77="休",J77="有",J77="明"),0,IF(J77="統",IF('職員マスター'!M76="可",0,1),IF(ISNUMBER(SEARCH("・"&amp;J77&amp;"・","・"&amp;'職員マスター'!N76&amp;"・")),0,1)))</x:f>
        <x:v>0</x:v>
      </x:c>
      <x:c r="Q77" s="56" t="n">
        <x:f>IF(OR(C77="夜",C77="統"),IF(D77="明",0,1),IF(D77="明",1,0))+IF(OR(D77="夜",D77="統"),IF(E77="明",0,1),IF(E77="明",1,0))+IF(OR(E77="夜",E77="統"),IF(F77="明",0,1),IF(F77="明",1,0))+IF(OR(F77="夜",F77="統"),IF(G77="明",0,1),IF(G77="明",1,0))+IF(OR(G77="夜",G77="統"),IF(H77="明",0,1),IF(H77="明",1,0))+IF(OR(H77="夜",H77="統"),IF(I77="明",0,1),IF(I77="明",1,0))+IF(OR(I77="夜",I77="統"),IF(J77="明",0,1),IF(J77="明",1,0))</x:f>
        <x:v>0</x:v>
      </x:c>
    </x:row>
    <x:row r="78" ht="26" customHeight="1">
      <x:c r="A78" s="56" t="str">
        <x:v>3F-24</x:v>
      </x:c>
      <x:c r="B78" s="56" t="str">
        <x:v>3F</x:v>
      </x:c>
      <x:c r="C78" s="80" t="str">
        <x:v>休</x:v>
      </x:c>
      <x:c r="D78" s="80" t="str">
        <x:v>短B</x:v>
      </x:c>
      <x:c r="E78" s="80" t="str">
        <x:v>休</x:v>
      </x:c>
      <x:c r="F78" s="80" t="str">
        <x:v>休</x:v>
      </x:c>
      <x:c r="G78" s="80" t="str">
        <x:v>短B</x:v>
      </x:c>
      <x:c r="H78" s="80" t="str">
        <x:v>休</x:v>
      </x:c>
      <x:c r="I78" s="80" t="str">
        <x:v>休</x:v>
      </x:c>
      <x:c r="J78" s="80" t="str">
        <x:v>短B</x:v>
      </x:c>
      <x:c r="K78" s="80" t="str">
        <x:v>休</x:v>
      </x:c>
      <x:c r="L78" s="72" t="n">
        <x:f>COUNTIFS(D78:J78,"早")*'勤務区分'!$G$6+COUNTIFS(D78:J78,"遅")*'勤務区分'!$G$7+COUNTIFS(D78:J78,"日")*'勤務区分'!$G$8+COUNTIFS(D78:J78,"午")*'勤務区分'!$G$9+COUNTIFS(D78:J78,"後")*'勤務区分'!$G$10+COUNTIFS(D78:J78,"短A")*'勤務区分'!$G$11+COUNTIFS(D78:J78,"短B")*'勤務区分'!$G$12+(COUNTIFS(D78:J78,"夜")+COUNTIFS(D78:J78,"統"))*'勤務区分'!$G$13</x:f>
        <x:v>9</x:v>
      </x:c>
      <x:c r="M78" s="72" t="n">
        <x:f>'職員マスター'!O77</x:f>
        <x:v>9</x:v>
      </x:c>
      <x:c r="N78" s="72" t="n">
        <x:f>MAX(0,L78-M78)</x:f>
        <x:v>0</x:v>
      </x:c>
      <x:c r="O78" s="56" t="n">
        <x:f>IF('職員マスター'!F77="不可",COUNTIFS(D78:J78,"夜")+COUNTIFS(D78:J78,"統"),0)</x:f>
        <x:v>0</x:v>
      </x:c>
      <x:c r="P78" s="56" t="n">
        <x:f>IF(OR(D78="休",D78="有",D78="明"),0,IF(D78="統",IF('職員マスター'!M77="可",0,1),IF(ISNUMBER(SEARCH("・"&amp;D78&amp;"・","・"&amp;'職員マスター'!N77&amp;"・")),0,1)))+IF(OR(E78="休",E78="有",E78="明"),0,IF(E78="統",IF('職員マスター'!M77="可",0,1),IF(ISNUMBER(SEARCH("・"&amp;E78&amp;"・","・"&amp;'職員マスター'!N77&amp;"・")),0,1)))+IF(OR(F78="休",F78="有",F78="明"),0,IF(F78="統",IF('職員マスター'!M77="可",0,1),IF(ISNUMBER(SEARCH("・"&amp;F78&amp;"・","・"&amp;'職員マスター'!N77&amp;"・")),0,1)))+IF(OR(G78="休",G78="有",G78="明"),0,IF(G78="統",IF('職員マスター'!M77="可",0,1),IF(ISNUMBER(SEARCH("・"&amp;G78&amp;"・","・"&amp;'職員マスター'!N77&amp;"・")),0,1)))+IF(OR(H78="休",H78="有",H78="明"),0,IF(H78="統",IF('職員マスター'!M77="可",0,1),IF(ISNUMBER(SEARCH("・"&amp;H78&amp;"・","・"&amp;'職員マスター'!N77&amp;"・")),0,1)))+IF(OR(I78="休",I78="有",I78="明"),0,IF(I78="統",IF('職員マスター'!M77="可",0,1),IF(ISNUMBER(SEARCH("・"&amp;I78&amp;"・","・"&amp;'職員マスター'!N77&amp;"・")),0,1)))+IF(OR(J78="休",J78="有",J78="明"),0,IF(J78="統",IF('職員マスター'!M77="可",0,1),IF(ISNUMBER(SEARCH("・"&amp;J78&amp;"・","・"&amp;'職員マスター'!N77&amp;"・")),0,1)))</x:f>
        <x:v>0</x:v>
      </x:c>
      <x:c r="Q78" s="56" t="n">
        <x:f>IF(OR(C78="夜",C78="統"),IF(D78="明",0,1),IF(D78="明",1,0))+IF(OR(D78="夜",D78="統"),IF(E78="明",0,1),IF(E78="明",1,0))+IF(OR(E78="夜",E78="統"),IF(F78="明",0,1),IF(F78="明",1,0))+IF(OR(F78="夜",F78="統"),IF(G78="明",0,1),IF(G78="明",1,0))+IF(OR(G78="夜",G78="統"),IF(H78="明",0,1),IF(H78="明",1,0))+IF(OR(H78="夜",H78="統"),IF(I78="明",0,1),IF(I78="明",1,0))+IF(OR(I78="夜",I78="統"),IF(J78="明",0,1),IF(J78="明",1,0))</x:f>
        <x:v>0</x:v>
      </x:c>
    </x:row>
    <x:row r="79" ht="26" customHeight="1">
      <x:c r="A79" s="56"/>
      <x:c r="B79" s="56"/>
      <x:c r="C79" s="56"/>
      <x:c r="D79" s="56"/>
      <x:c r="E79" s="56"/>
      <x:c r="F79" s="56"/>
      <x:c r="G79" s="56"/>
      <x:c r="H79" s="56"/>
      <x:c r="I79" s="56"/>
      <x:c r="J79" s="56"/>
      <x:c r="K79" s="56"/>
      <x:c r="L79" s="56"/>
      <x:c r="M79" s="56"/>
      <x:c r="N79" s="56"/>
      <x:c r="O79" s="56"/>
      <x:c r="P79" s="56"/>
      <x:c r="Q79" s="56"/>
    </x:row>
    <x:row r="80" ht="26" customHeight="1">
      <x:c r="A80" s="56"/>
      <x:c r="B80" s="56"/>
      <x:c r="C80" s="56"/>
      <x:c r="D80" s="56"/>
      <x:c r="E80" s="56"/>
      <x:c r="F80" s="56"/>
      <x:c r="G80" s="56"/>
      <x:c r="H80" s="56"/>
      <x:c r="I80" s="56"/>
      <x:c r="J80" s="56"/>
      <x:c r="K80" s="56"/>
      <x:c r="L80" s="56"/>
      <x:c r="M80" s="56"/>
      <x:c r="N80" s="56"/>
      <x:c r="O80" s="56"/>
      <x:c r="P80" s="56"/>
      <x:c r="Q80" s="56"/>
    </x:row>
    <x:row r="81" ht="26" customHeight="1">
      <x:c r="A81" s="56" t="str">
        <x:v>実働は勤務開始日に全時間を計上した比較値です。暦週の労働時間・給与計算とは異なります。</x:v>
      </x:c>
      <x:c r="B81" s="56"/>
      <x:c r="C81" s="56"/>
      <x:c r="D81" s="56"/>
      <x:c r="E81" s="56"/>
      <x:c r="F81" s="56"/>
      <x:c r="G81" s="56"/>
      <x:c r="H81" s="56"/>
      <x:c r="I81" s="56"/>
      <x:c r="J81" s="56"/>
      <x:c r="K81" s="56"/>
      <x:c r="L81" s="56"/>
      <x:c r="M81" s="56"/>
      <x:c r="N81" s="56"/>
      <x:c r="O81" s="56"/>
      <x:c r="P81" s="56"/>
      <x:c r="Q81" s="56"/>
    </x:row>
    <x:row r="82" ht="26" customHeight="1">
      <x:c r="A82" s="56"/>
      <x:c r="B82" s="56"/>
      <x:c r="C82" s="56"/>
      <x:c r="D82" s="56"/>
      <x:c r="E82" s="56"/>
      <x:c r="F82" s="56"/>
      <x:c r="G82" s="56"/>
      <x:c r="H82" s="56"/>
      <x:c r="I82" s="56"/>
      <x:c r="J82" s="56"/>
      <x:c r="K82" s="56"/>
      <x:c r="L82" s="56"/>
      <x:c r="M82" s="56"/>
      <x:c r="N82" s="56"/>
      <x:c r="O82" s="56"/>
      <x:c r="P82" s="56"/>
      <x:c r="Q82" s="56"/>
    </x:row>
    <x:row r="83" ht="26" customHeight="1">
      <x:c r="A83" s="56" t="str">
        <x:v>夜勤実働14時間は休憩3時間を確保できた場合。食事休憩は未配置なので確定値ではありません。</x:v>
      </x:c>
      <x:c r="B83" s="56"/>
      <x:c r="C83" s="56"/>
      <x:c r="D83" s="56"/>
      <x:c r="E83" s="56"/>
      <x:c r="F83" s="56"/>
      <x:c r="G83" s="56"/>
      <x:c r="H83" s="56"/>
      <x:c r="I83" s="56"/>
      <x:c r="J83" s="56"/>
      <x:c r="K83" s="56"/>
      <x:c r="L83" s="56"/>
      <x:c r="M83" s="56"/>
      <x:c r="N83" s="56"/>
      <x:c r="O83" s="56"/>
      <x:c r="P83" s="56"/>
      <x:c r="Q83" s="56"/>
    </x:row>
    <x:row r="84" ht="26" customHeight="1">
      <x:c r="A84" s="56"/>
      <x:c r="B84" s="56"/>
      <x:c r="C84" s="56"/>
      <x:c r="D84" s="56"/>
      <x:c r="E84" s="56"/>
      <x:c r="F84" s="56"/>
      <x:c r="G84" s="56"/>
      <x:c r="H84" s="56"/>
      <x:c r="I84" s="56"/>
      <x:c r="J84" s="56"/>
      <x:c r="K84" s="56"/>
      <x:c r="L84" s="56"/>
      <x:c r="M84" s="56"/>
      <x:c r="N84" s="56"/>
      <x:c r="O84" s="56"/>
      <x:c r="P84" s="56"/>
      <x:c r="Q84" s="56"/>
    </x:row>
    <x:row r="85" ht="26" customHeight="1">
      <x:c r="A85" s="56" t="str">
        <x:v>統＝夜勤の統括担当（16～翌9時）。一般配布でも役割が分かるよう表示します。</x:v>
      </x:c>
      <x:c r="B85" s="56"/>
      <x:c r="C85" s="56"/>
      <x:c r="D85" s="56"/>
      <x:c r="E85" s="56"/>
      <x:c r="F85" s="56"/>
      <x:c r="G85" s="56"/>
      <x:c r="H85" s="56"/>
      <x:c r="I85" s="56"/>
      <x:c r="J85" s="56"/>
      <x:c r="K85" s="56"/>
      <x:c r="L85" s="56"/>
      <x:c r="M85" s="56"/>
      <x:c r="N85" s="56"/>
      <x:c r="O85" s="56"/>
      <x:c r="P85" s="56"/>
      <x:c r="Q85" s="56"/>
    </x:row>
    <x:row r="86" ht="26" customHeight="1">
      <x:c r="A86" s="56"/>
      <x:c r="B86" s="56"/>
      <x:c r="C86" s="56"/>
      <x:c r="D86" s="56"/>
      <x:c r="E86" s="56"/>
      <x:c r="F86" s="56"/>
      <x:c r="G86" s="56"/>
      <x:c r="H86" s="56"/>
      <x:c r="I86" s="56"/>
      <x:c r="J86" s="56"/>
      <x:c r="K86" s="56"/>
      <x:c r="L86" s="56"/>
      <x:c r="M86" s="56"/>
      <x:c r="N86" s="56"/>
      <x:c r="O86" s="56"/>
      <x:c r="P86" s="56"/>
      <x:c r="Q86" s="56"/>
    </x:row>
    <x:row r="87" ht="26" customHeight="1">
      <x:c r="A87" s="56"/>
      <x:c r="B87" s="56"/>
      <x:c r="C87" s="56"/>
      <x:c r="D87" s="56"/>
      <x:c r="E87" s="56"/>
      <x:c r="F87" s="56"/>
      <x:c r="G87" s="56"/>
      <x:c r="H87" s="56"/>
      <x:c r="I87" s="56"/>
      <x:c r="J87" s="56"/>
      <x:c r="K87" s="56"/>
      <x:c r="L87" s="56"/>
      <x:c r="M87" s="56"/>
      <x:c r="N87" s="56"/>
      <x:c r="O87" s="56"/>
      <x:c r="P87" s="56"/>
      <x:c r="Q87" s="56"/>
    </x:row>
    <x:row r="88" ht="40" customHeight="1">
      <x:c r="A88" s="95" t="str">
        <x:v>希望休の職員ID</x:v>
      </x:c>
      <x:c r="B88" s="95" t="str">
        <x:v>希望日</x:v>
      </x:c>
      <x:c r="C88" s="95" t="str">
        <x:v>希望コード</x:v>
      </x:c>
      <x:c r="D88" s="95" t="str">
        <x:v>仮割当</x:v>
      </x:c>
      <x:c r="E88" s="95" t="str">
        <x:v>一致確認</x:v>
      </x:c>
      <x:c r="F88" s="56"/>
      <x:c r="G88" s="56"/>
      <x:c r="H88" s="56"/>
      <x:c r="I88" s="56"/>
      <x:c r="J88" s="56"/>
      <x:c r="K88" s="56"/>
      <x:c r="L88" s="56"/>
      <x:c r="M88" s="56"/>
      <x:c r="N88" s="56"/>
      <x:c r="O88" s="56"/>
      <x:c r="P88" s="56"/>
      <x:c r="Q88" s="56"/>
    </x:row>
    <x:row r="89" ht="26" customHeight="1">
      <x:c r="A89" s="56" t="str">
        <x:v>1F-01</x:v>
      </x:c>
      <x:c r="B89" s="88" t="n">
        <x:v>46304</x:v>
      </x:c>
      <x:c r="C89" s="56" t="str">
        <x:v>休</x:v>
      </x:c>
      <x:c r="D89" s="56" t="str">
        <x:f>INDEX(D7:J78,MATCH(A89,A7:A78,0),MATCH(B89,D5:J5,0))</x:f>
        <x:v>早</x:v>
      </x:c>
      <x:c r="E89" s="56" t="str">
        <x:f>IF(C89=D89,"一致","不一致")</x:f>
        <x:v>不一致</x:v>
      </x:c>
      <x:c r="F89" s="56"/>
      <x:c r="G89" s="56"/>
      <x:c r="H89" s="56"/>
      <x:c r="I89" s="56"/>
      <x:c r="J89" s="56"/>
      <x:c r="K89" s="56"/>
      <x:c r="L89" s="56"/>
      <x:c r="M89" s="56"/>
      <x:c r="N89" s="56"/>
      <x:c r="O89" s="56"/>
      <x:c r="P89" s="56"/>
      <x:c r="Q89" s="56"/>
    </x:row>
    <x:row r="90" ht="26" customHeight="1">
      <x:c r="A90" s="56"/>
      <x:c r="B90" s="56"/>
      <x:c r="C90" s="56"/>
      <x:c r="D90" s="56"/>
      <x:c r="E90" s="56"/>
      <x:c r="F90" s="56"/>
      <x:c r="G90" s="56"/>
      <x:c r="H90" s="56"/>
      <x:c r="I90" s="56"/>
      <x:c r="J90" s="56"/>
      <x:c r="K90" s="56"/>
      <x:c r="L90" s="56"/>
      <x:c r="M90" s="56"/>
      <x:c r="N90" s="56"/>
      <x:c r="O90" s="56"/>
      <x:c r="P90" s="56"/>
      <x:c r="Q90" s="56"/>
    </x:row>
    <x:row r="91" ht="26" customHeight="1">
      <x:c r="A91" s="56"/>
      <x:c r="B91" s="56"/>
      <x:c r="C91" s="56"/>
      <x:c r="D91" s="56"/>
      <x:c r="E91" s="56"/>
      <x:c r="F91" s="56"/>
      <x:c r="G91" s="56"/>
      <x:c r="H91" s="56"/>
      <x:c r="I91" s="56"/>
      <x:c r="J91" s="56"/>
      <x:c r="K91" s="56"/>
      <x:c r="L91" s="56"/>
      <x:c r="M91" s="56"/>
      <x:c r="N91" s="56"/>
      <x:c r="O91" s="56"/>
      <x:c r="P91" s="56"/>
      <x:c r="Q91" s="56"/>
    </x:row>
    <x:row r="92" ht="26" customHeight="1">
      <x:c r="A92" s="56" t="str">
        <x:v>午前・午後・短時間の勤務可能時間は勤務区分を参照。休日数・有休残数・月上限は未検査です。</x:v>
      </x:c>
      <x:c r="B92" s="56"/>
      <x:c r="C92" s="56"/>
      <x:c r="D92" s="56"/>
      <x:c r="E92" s="56"/>
      <x:c r="F92" s="56"/>
      <x:c r="G92" s="56"/>
      <x:c r="H92" s="56"/>
      <x:c r="I92" s="56"/>
      <x:c r="J92" s="56"/>
      <x:c r="K92" s="56"/>
      <x:c r="L92" s="56"/>
      <x:c r="M92" s="56"/>
      <x:c r="N92" s="56"/>
      <x:c r="O92" s="56"/>
      <x:c r="P92" s="56"/>
      <x:c r="Q92" s="56"/>
    </x:row>
    <x:row r="93" ht="26" customHeight="1">
      <x:c r="A93" s="56"/>
      <x:c r="B93" s="56"/>
      <x:c r="C93" s="56"/>
      <x:c r="D93" s="56"/>
      <x:c r="E93" s="56"/>
      <x:c r="F93" s="56"/>
      <x:c r="G93" s="56"/>
      <x:c r="H93" s="56"/>
      <x:c r="I93" s="56"/>
      <x:c r="J93" s="56"/>
      <x:c r="K93" s="56"/>
      <x:c r="L93" s="56"/>
      <x:c r="M93" s="56"/>
      <x:c r="N93" s="56"/>
      <x:c r="O93" s="56"/>
      <x:c r="P93" s="56"/>
      <x:c r="Q93" s="56"/>
    </x:row>
    <x:row r="94" ht="26" customHeight="1">
      <x:c r="A94" s="56"/>
      <x:c r="B94" s="56"/>
      <x:c r="C94" s="56"/>
      <x:c r="D94" s="56"/>
      <x:c r="E94" s="56"/>
      <x:c r="F94" s="56"/>
      <x:c r="G94" s="56"/>
      <x:c r="H94" s="56"/>
      <x:c r="I94" s="56"/>
      <x:c r="J94" s="56"/>
      <x:c r="K94" s="56"/>
      <x:c r="L94" s="56"/>
      <x:c r="M94" s="56"/>
      <x:c r="N94" s="56"/>
      <x:c r="O94" s="56"/>
      <x:c r="P94" s="56"/>
      <x:c r="Q94" s="56"/>
    </x:row>
    <x:row r="95" ht="26" customHeight="1">
      <x:c r="A95" s="56"/>
      <x:c r="B95" s="56"/>
      <x:c r="C95" s="56"/>
      <x:c r="D95" s="56"/>
      <x:c r="E95" s="56"/>
      <x:c r="F95" s="56"/>
      <x:c r="G95" s="56"/>
      <x:c r="H95" s="56"/>
      <x:c r="I95" s="56"/>
      <x:c r="J95" s="56"/>
      <x:c r="K95" s="56"/>
      <x:c r="L95" s="56"/>
      <x:c r="M95" s="56"/>
      <x:c r="N95" s="56"/>
      <x:c r="O95" s="56"/>
      <x:c r="P95" s="56"/>
      <x:c r="Q95" s="56"/>
    </x:row>
    <x:row r="96" ht="26" customHeight="1">
      <x:c r="A96" s="56"/>
      <x:c r="B96" s="56"/>
      <x:c r="C96" s="56"/>
      <x:c r="D96" s="56"/>
      <x:c r="E96" s="56"/>
      <x:c r="F96" s="56"/>
      <x:c r="G96" s="56"/>
      <x:c r="H96" s="56"/>
      <x:c r="I96" s="56"/>
      <x:c r="J96" s="56"/>
      <x:c r="K96" s="56"/>
      <x:c r="L96" s="56"/>
      <x:c r="M96" s="56"/>
      <x:c r="N96" s="56"/>
      <x:c r="O96" s="56"/>
      <x:c r="P96" s="56"/>
      <x:c r="Q96" s="56"/>
    </x:row>
    <x:row r="97" ht="26" customHeight="1">
      <x:c r="A97" s="56"/>
      <x:c r="B97" s="56"/>
      <x:c r="C97" s="56"/>
      <x:c r="D97" s="56"/>
      <x:c r="E97" s="56"/>
      <x:c r="F97" s="56"/>
      <x:c r="G97" s="56"/>
      <x:c r="H97" s="56"/>
      <x:c r="I97" s="56"/>
      <x:c r="J97" s="56"/>
      <x:c r="K97" s="56"/>
      <x:c r="L97" s="56"/>
      <x:c r="M97" s="56"/>
      <x:c r="N97" s="56"/>
      <x:c r="O97" s="56"/>
      <x:c r="P97" s="56"/>
      <x:c r="Q97" s="56"/>
    </x:row>
    <x:row r="98" ht="26" customHeight="1">
      <x:c r="A98" s="56"/>
      <x:c r="B98" s="56"/>
      <x:c r="C98" s="56"/>
      <x:c r="D98" s="56"/>
      <x:c r="E98" s="56"/>
      <x:c r="F98" s="56"/>
      <x:c r="G98" s="56"/>
      <x:c r="H98" s="56"/>
      <x:c r="I98" s="56"/>
      <x:c r="J98" s="56"/>
      <x:c r="K98" s="56"/>
      <x:c r="L98" s="56"/>
      <x:c r="M98" s="56"/>
      <x:c r="N98" s="56"/>
      <x:c r="O98" s="56"/>
      <x:c r="P98" s="56"/>
      <x:c r="Q98" s="56"/>
    </x:row>
    <x:row r="99" ht="26" customHeight="1">
      <x:c r="A99" s="56"/>
      <x:c r="B99" s="56"/>
      <x:c r="C99" s="56"/>
      <x:c r="D99" s="56"/>
      <x:c r="E99" s="56"/>
      <x:c r="F99" s="56"/>
      <x:c r="G99" s="56"/>
      <x:c r="H99" s="56"/>
      <x:c r="I99" s="56"/>
      <x:c r="J99" s="56"/>
      <x:c r="K99" s="56"/>
      <x:c r="L99" s="56"/>
      <x:c r="M99" s="56"/>
      <x:c r="N99" s="56"/>
      <x:c r="O99" s="56"/>
      <x:c r="P99" s="56"/>
      <x:c r="Q99" s="56"/>
    </x:row>
  </x:sheetData>
  <x:conditionalFormatting sqref="C7:K78">
    <x:cfRule type="expression" dxfId="9" priority="1">
      <x:formula>C7="早"</x:formula>
    </x:cfRule>
    <x:cfRule type="expression" dxfId="10" priority="2">
      <x:formula>C7="遅"</x:formula>
    </x:cfRule>
    <x:cfRule type="expression" dxfId="11" priority="3">
      <x:formula>C7="日"</x:formula>
    </x:cfRule>
    <x:cfRule type="expression" dxfId="12" priority="4">
      <x:formula>C7="夜"</x:formula>
    </x:cfRule>
    <x:cfRule type="expression" dxfId="13" priority="5">
      <x:formula>C7="統"</x:formula>
    </x:cfRule>
    <x:cfRule type="expression" dxfId="14" priority="6">
      <x:formula>C7="明"</x:formula>
    </x:cfRule>
    <x:cfRule type="expression" dxfId="15" priority="7">
      <x:formula>C7="午"</x:formula>
    </x:cfRule>
    <x:cfRule type="expression" dxfId="16" priority="8">
      <x:formula>C7="後"</x:formula>
    </x:cfRule>
    <x:cfRule type="expression" dxfId="17" priority="9">
      <x:formula>C7="短A"</x:formula>
    </x:cfRule>
    <x:cfRule type="expression" dxfId="18" priority="10">
      <x:formula>C7="短B"</x:formula>
    </x:cfRule>
  </x:conditionalFormatting>
  <x:conditionalFormatting sqref="N7:Q78">
    <x:cfRule type="expression" dxfId="19" priority="11">
      <x:formula>N7&gt;0</x:formula>
    </x:cfRule>
  </x:conditionalFormatting>
  <x:conditionalFormatting sqref="E89:E89">
    <x:cfRule type="expression" dxfId="20" priority="12">
      <x:formula>E89="不一致"</x:formula>
    </x:cfRule>
  </x:conditionalFormatting>
  <x:dataValidations count="1">
    <x:dataValidation type="list" sqref="C7:K78">
      <x:formula1>"早,遅,日,午,後,短A,短B,夜,統,明,休,有"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16" hidden="0" customWidth="1"/>
    <x:col min="2" max="2" width="12" hidden="0" customWidth="1"/>
    <x:col min="3" max="3" width="8" hidden="0" customWidth="1"/>
    <x:col min="4" max="4" width="8" hidden="0" customWidth="1"/>
    <x:col min="5" max="5" width="8" hidden="0" customWidth="1"/>
    <x:col min="6" max="6" width="8" hidden="0" customWidth="1"/>
    <x:col min="7" max="7" width="8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  <x:col min="14" max="14" width="8" hidden="0" customWidth="1"/>
    <x:col min="15" max="15" width="8" hidden="0" customWidth="1"/>
    <x:col min="16" max="16" width="8" hidden="0" customWidth="1"/>
    <x:col min="17" max="17" width="8" hidden="0" customWidth="1"/>
    <x:col min="18" max="18" width="8" hidden="0" customWidth="1"/>
    <x:col min="19" max="19" width="8" hidden="0" customWidth="1"/>
    <x:col min="20" max="20" width="8" hidden="0" customWidth="1"/>
    <x:col min="21" max="21" width="8" hidden="0" customWidth="1"/>
    <x:col min="22" max="22" width="8" hidden="0" customWidth="1"/>
    <x:col min="23" max="23" width="16" hidden="0" customWidth="1"/>
  </x:cols>
  <x:sheetData>
    <x:row r="1" ht="26" customHeight="1">
      <x:c r="A1" s="56"/>
      <x:c r="B1" s="56"/>
      <x:c r="C1" s="56"/>
      <x:c r="D1" s="56"/>
      <x:c r="E1" s="56"/>
      <x:c r="F1" s="56"/>
      <x:c r="G1" s="56"/>
      <x:c r="H1" s="56"/>
      <x:c r="I1" s="56"/>
      <x:c r="J1" s="56"/>
      <x:c r="K1" s="56"/>
      <x:c r="L1" s="56"/>
      <x:c r="M1" s="56"/>
      <x:c r="N1" s="56"/>
      <x:c r="O1" s="56"/>
      <x:c r="P1" s="56"/>
      <x:c r="Q1" s="56"/>
      <x:c r="R1" s="56"/>
      <x:c r="S1" s="56"/>
      <x:c r="T1" s="56"/>
      <x:c r="U1" s="56"/>
      <x:c r="V1" s="56"/>
      <x:c r="W1" s="56"/>
    </x:row>
    <x:row r="2" ht="26" customHeight="1">
      <x:c r="A2" s="57" t="str">
        <x:v>週間夜間配置｜仮眠と代替担当の確認</x:v>
      </x:c>
      <x:c r="B2" s="56"/>
      <x:c r="C2" s="56"/>
      <x:c r="D2" s="56"/>
      <x:c r="E2" s="56"/>
      <x:c r="F2" s="56"/>
      <x:c r="G2" s="56"/>
      <x:c r="H2" s="56"/>
      <x:c r="I2" s="56"/>
      <x:c r="J2" s="56"/>
      <x:c r="K2" s="56"/>
      <x:c r="L2" s="56"/>
      <x:c r="M2" s="56"/>
      <x:c r="N2" s="56"/>
      <x:c r="O2" s="56"/>
      <x:c r="P2" s="56"/>
      <x:c r="Q2" s="56"/>
      <x:c r="R2" s="56"/>
      <x:c r="S2" s="56"/>
      <x:c r="T2" s="56"/>
      <x:c r="U2" s="56"/>
      <x:c r="V2" s="56"/>
      <x:c r="W2" s="56"/>
    </x:row>
    <x:row r="3" ht="26" customHeight="1">
      <x:c r="A3" s="87" t="str">
        <x:v>各夜21～翌7時。食事休憩・移動時間は未配置。仮眠者は対応人数に数えません。</x:v>
      </x:c>
      <x:c r="B3" s="56"/>
      <x:c r="C3" s="56"/>
      <x:c r="D3" s="56"/>
      <x:c r="E3" s="56"/>
      <x:c r="F3" s="56"/>
      <x:c r="G3" s="56"/>
      <x:c r="H3" s="56"/>
      <x:c r="I3" s="56"/>
      <x:c r="J3" s="56"/>
      <x:c r="K3" s="56"/>
      <x:c r="L3" s="56"/>
      <x:c r="M3" s="56"/>
      <x:c r="N3" s="56"/>
      <x:c r="O3" s="56"/>
      <x:c r="P3" s="56"/>
      <x:c r="Q3" s="56"/>
      <x:c r="R3" s="56"/>
      <x:c r="S3" s="56"/>
      <x:c r="T3" s="56"/>
      <x:c r="U3" s="56"/>
      <x:c r="V3" s="56"/>
      <x:c r="W3" s="56"/>
    </x:row>
    <x:row r="4" ht="26" customHeight="1">
      <x:c r="A4" s="56"/>
      <x:c r="B4" s="56"/>
      <x:c r="C4" s="56"/>
      <x:c r="D4" s="56"/>
      <x:c r="E4" s="56"/>
      <x:c r="F4" s="56"/>
      <x:c r="G4" s="56"/>
      <x:c r="H4" s="56"/>
      <x:c r="I4" s="56"/>
      <x:c r="J4" s="56"/>
      <x:c r="K4" s="56"/>
      <x:c r="L4" s="56"/>
      <x:c r="M4" s="56"/>
      <x:c r="N4" s="56"/>
      <x:c r="O4" s="56"/>
      <x:c r="P4" s="56"/>
      <x:c r="Q4" s="56"/>
      <x:c r="R4" s="56"/>
      <x:c r="S4" s="56"/>
      <x:c r="T4" s="56"/>
      <x:c r="U4" s="56"/>
      <x:c r="V4" s="56"/>
      <x:c r="W4" s="56"/>
    </x:row>
    <x:row r="5" ht="26" customHeight="1">
      <x:c r="A5" s="56"/>
      <x:c r="B5" s="56"/>
      <x:c r="C5" s="56"/>
      <x:c r="D5" s="56"/>
      <x:c r="E5" s="56"/>
      <x:c r="F5" s="56"/>
      <x:c r="G5" s="56"/>
      <x:c r="H5" s="56"/>
      <x:c r="I5" s="56"/>
      <x:c r="J5" s="56"/>
      <x:c r="K5" s="56"/>
      <x:c r="L5" s="56"/>
      <x:c r="M5" s="56"/>
      <x:c r="N5" s="56"/>
      <x:c r="O5" s="56"/>
      <x:c r="P5" s="56"/>
      <x:c r="Q5" s="56"/>
      <x:c r="R5" s="56"/>
      <x:c r="S5" s="56"/>
      <x:c r="T5" s="56"/>
      <x:c r="U5" s="56"/>
      <x:c r="V5" s="56"/>
      <x:c r="W5" s="56"/>
    </x:row>
    <x:row r="6" ht="26" customHeight="1">
      <x:c r="A6" s="56" t="str">
        <x:v>10/5（月）開始の夜勤</x:v>
      </x:c>
      <x:c r="B6" s="56"/>
      <x:c r="C6" s="56"/>
      <x:c r="D6" s="56"/>
      <x:c r="E6" s="56"/>
      <x:c r="F6" s="56"/>
      <x:c r="G6" s="56"/>
      <x:c r="H6" s="56"/>
      <x:c r="I6" s="56"/>
      <x:c r="J6" s="56"/>
      <x:c r="K6" s="56"/>
      <x:c r="L6" s="56"/>
      <x:c r="M6" s="56"/>
      <x:c r="N6" s="56"/>
      <x:c r="O6" s="56"/>
      <x:c r="P6" s="56"/>
      <x:c r="Q6" s="56"/>
      <x:c r="R6" s="56"/>
      <x:c r="S6" s="56"/>
      <x:c r="T6" s="56"/>
      <x:c r="U6" s="56"/>
      <x:c r="V6" s="56"/>
      <x:c r="W6" s="56"/>
    </x:row>
    <x:row r="7" ht="40" customHeight="1">
      <x:c r="A7" s="95" t="str">
        <x:v>職員ID</x:v>
      </x:c>
      <x:c r="B7" s="95" t="str">
        <x:v>基本役割</x:v>
      </x:c>
      <x:c r="C7" s="97" t="n">
        <x:v>46300.875</x:v>
      </x:c>
      <x:c r="D7" s="97" t="n">
        <x:v>46300.895833333336</x:v>
      </x:c>
      <x:c r="E7" s="97" t="n">
        <x:v>46300.916666666664</x:v>
      </x:c>
      <x:c r="F7" s="97" t="n">
        <x:v>46300.9375</x:v>
      </x:c>
      <x:c r="G7" s="97" t="n">
        <x:v>46300.958333333336</x:v>
      </x:c>
      <x:c r="H7" s="97" t="n">
        <x:v>46300.979166666664</x:v>
      </x:c>
      <x:c r="I7" s="97" t="n">
        <x:v>46301</x:v>
      </x:c>
      <x:c r="J7" s="97" t="n">
        <x:v>46301.020833333336</x:v>
      </x:c>
      <x:c r="K7" s="97" t="n">
        <x:v>46301.041666666664</x:v>
      </x:c>
      <x:c r="L7" s="97" t="n">
        <x:v>46301.0625</x:v>
      </x:c>
      <x:c r="M7" s="97" t="n">
        <x:v>46301.083333333336</x:v>
      </x:c>
      <x:c r="N7" s="97" t="n">
        <x:v>46301.104166666664</x:v>
      </x:c>
      <x:c r="O7" s="97" t="n">
        <x:v>46301.125</x:v>
      </x:c>
      <x:c r="P7" s="97" t="n">
        <x:v>46301.145833333336</x:v>
      </x:c>
      <x:c r="Q7" s="97" t="n">
        <x:v>46301.166666666664</x:v>
      </x:c>
      <x:c r="R7" s="97" t="n">
        <x:v>46301.1875</x:v>
      </x:c>
      <x:c r="S7" s="97" t="n">
        <x:v>46301.208333333336</x:v>
      </x:c>
      <x:c r="T7" s="97" t="n">
        <x:v>46301.229166666664</x:v>
      </x:c>
      <x:c r="U7" s="97" t="n">
        <x:v>46301.25</x:v>
      </x:c>
      <x:c r="V7" s="97" t="n">
        <x:v>46301.270833333336</x:v>
      </x:c>
      <x:c r="W7" s="95" t="str">
        <x:v>仮シフト一致</x:v>
      </x:c>
    </x:row>
    <x:row r="8" ht="26" customHeight="1">
      <x:c r="A8" s="56" t="str">
        <x:v>1F-05</x:v>
      </x:c>
      <x:c r="B8" s="56" t="str">
        <x:v>1F</x:v>
      </x:c>
      <x:c r="C8" s="56" t="str">
        <x:v>仮眠</x:v>
      </x:c>
      <x:c r="D8" s="56" t="str">
        <x:v>仮眠</x:v>
      </x:c>
      <x:c r="E8" s="56" t="str">
        <x:v>仮眠</x:v>
      </x:c>
      <x:c r="F8" s="56" t="str">
        <x:v>仮眠</x:v>
      </x:c>
      <x:c r="G8" s="56" t="str">
        <x:v>1F</x:v>
      </x:c>
      <x:c r="H8" s="56" t="str">
        <x:v>1F</x:v>
      </x:c>
      <x:c r="I8" s="56" t="str">
        <x:v>1F</x:v>
      </x:c>
      <x:c r="J8" s="56" t="str">
        <x:v>1F</x:v>
      </x:c>
      <x:c r="K8" s="56" t="str">
        <x:v>1F</x:v>
      </x:c>
      <x:c r="L8" s="56" t="str">
        <x:v>1F</x:v>
      </x:c>
      <x:c r="M8" s="56" t="str">
        <x:v>1F</x:v>
      </x:c>
      <x:c r="N8" s="56" t="str">
        <x:v>1F</x:v>
      </x:c>
      <x:c r="O8" s="56" t="str">
        <x:v>1F</x:v>
      </x:c>
      <x:c r="P8" s="56" t="str">
        <x:v>1F</x:v>
      </x:c>
      <x:c r="Q8" s="56" t="str">
        <x:v>1F</x:v>
      </x:c>
      <x:c r="R8" s="56" t="str">
        <x:v>1F</x:v>
      </x:c>
      <x:c r="S8" s="56" t="str">
        <x:v>1F</x:v>
      </x:c>
      <x:c r="T8" s="56" t="str">
        <x:v>1F</x:v>
      </x:c>
      <x:c r="U8" s="56" t="str">
        <x:v>1F</x:v>
      </x:c>
      <x:c r="V8" s="56" t="str">
        <x:v>1F</x:v>
      </x:c>
      <x:c r="W8" s="56" t="str">
        <x:f>IF(INDEX('週間仮シフト'!D$7:D$78,MATCH(A8,'週間仮シフト'!$A$7:$A$78,0))="夜","一致","不一致")</x:f>
        <x:v>一致</x:v>
      </x:c>
    </x:row>
    <x:row r="9" ht="26" customHeight="1">
      <x:c r="A9" s="56" t="str">
        <x:v>1F-06</x:v>
      </x:c>
      <x:c r="B9" s="56" t="str">
        <x:v>1F</x:v>
      </x:c>
      <x:c r="C9" s="56" t="str">
        <x:v>1F</x:v>
      </x:c>
      <x:c r="D9" s="56" t="str">
        <x:v>1F</x:v>
      </x:c>
      <x:c r="E9" s="56" t="str">
        <x:v>仮眠</x:v>
      </x:c>
      <x:c r="F9" s="56" t="str">
        <x:v>仮眠</x:v>
      </x:c>
      <x:c r="G9" s="56" t="str">
        <x:v>仮眠</x:v>
      </x:c>
      <x:c r="H9" s="56" t="str">
        <x:v>仮眠</x:v>
      </x:c>
      <x:c r="I9" s="56" t="str">
        <x:v>1F</x:v>
      </x:c>
      <x:c r="J9" s="56" t="str">
        <x:v>1F</x:v>
      </x:c>
      <x:c r="K9" s="56" t="str">
        <x:v>1F</x:v>
      </x:c>
      <x:c r="L9" s="56" t="str">
        <x:v>1F</x:v>
      </x:c>
      <x:c r="M9" s="56" t="str">
        <x:v>1F</x:v>
      </x:c>
      <x:c r="N9" s="56" t="str">
        <x:v>1F</x:v>
      </x:c>
      <x:c r="O9" s="56" t="str">
        <x:v>1F</x:v>
      </x:c>
      <x:c r="P9" s="56" t="str">
        <x:v>1F</x:v>
      </x:c>
      <x:c r="Q9" s="56" t="str">
        <x:v>1F</x:v>
      </x:c>
      <x:c r="R9" s="56" t="str">
        <x:v>1F</x:v>
      </x:c>
      <x:c r="S9" s="56" t="str">
        <x:v>1F</x:v>
      </x:c>
      <x:c r="T9" s="56" t="str">
        <x:v>1F</x:v>
      </x:c>
      <x:c r="U9" s="56" t="str">
        <x:v>1F</x:v>
      </x:c>
      <x:c r="V9" s="56" t="str">
        <x:v>1F</x:v>
      </x:c>
      <x:c r="W9" s="56" t="str">
        <x:f>IF(INDEX('週間仮シフト'!D$7:D$78,MATCH(A9,'週間仮シフト'!$A$7:$A$78,0))="夜","一致","不一致")</x:f>
        <x:v>一致</x:v>
      </x:c>
    </x:row>
    <x:row r="10" ht="26" customHeight="1">
      <x:c r="A10" s="56" t="str">
        <x:v>2F-03</x:v>
      </x:c>
      <x:c r="B10" s="56" t="str">
        <x:v>2F</x:v>
      </x:c>
      <x:c r="C10" s="56" t="str">
        <x:v>2F</x:v>
      </x:c>
      <x:c r="D10" s="56" t="str">
        <x:v>2F</x:v>
      </x:c>
      <x:c r="E10" s="56" t="str">
        <x:v>2F</x:v>
      </x:c>
      <x:c r="F10" s="56" t="str">
        <x:v>2F</x:v>
      </x:c>
      <x:c r="G10" s="56" t="str">
        <x:v>仮眠</x:v>
      </x:c>
      <x:c r="H10" s="56" t="str">
        <x:v>仮眠</x:v>
      </x:c>
      <x:c r="I10" s="56" t="str">
        <x:v>仮眠</x:v>
      </x:c>
      <x:c r="J10" s="56" t="str">
        <x:v>仮眠</x:v>
      </x:c>
      <x:c r="K10" s="56" t="str">
        <x:v>2F</x:v>
      </x:c>
      <x:c r="L10" s="56" t="str">
        <x:v>2F</x:v>
      </x:c>
      <x:c r="M10" s="56" t="str">
        <x:v>2F</x:v>
      </x:c>
      <x:c r="N10" s="56" t="str">
        <x:v>2F</x:v>
      </x:c>
      <x:c r="O10" s="56" t="str">
        <x:v>2F</x:v>
      </x:c>
      <x:c r="P10" s="56" t="str">
        <x:v>2F</x:v>
      </x:c>
      <x:c r="Q10" s="56" t="str">
        <x:v>2F</x:v>
      </x:c>
      <x:c r="R10" s="56" t="str">
        <x:v>2F</x:v>
      </x:c>
      <x:c r="S10" s="56" t="str">
        <x:v>2F</x:v>
      </x:c>
      <x:c r="T10" s="56" t="str">
        <x:v>2F</x:v>
      </x:c>
      <x:c r="U10" s="56" t="str">
        <x:v>2F</x:v>
      </x:c>
      <x:c r="V10" s="56" t="str">
        <x:v>2F</x:v>
      </x:c>
      <x:c r="W10" s="56" t="str">
        <x:f>IF(INDEX('週間仮シフト'!D$7:D$78,MATCH(A10,'週間仮シフト'!$A$7:$A$78,0))="夜","一致","不一致")</x:f>
        <x:v>一致</x:v>
      </x:c>
    </x:row>
    <x:row r="11" ht="26" customHeight="1">
      <x:c r="A11" s="56" t="str">
        <x:v>2F-04</x:v>
      </x:c>
      <x:c r="B11" s="56" t="str">
        <x:v>2F</x:v>
      </x:c>
      <x:c r="C11" s="56" t="str">
        <x:v>2F</x:v>
      </x:c>
      <x:c r="D11" s="56" t="str">
        <x:v>2F</x:v>
      </x:c>
      <x:c r="E11" s="56" t="str">
        <x:v>2F</x:v>
      </x:c>
      <x:c r="F11" s="56" t="str">
        <x:v>2F</x:v>
      </x:c>
      <x:c r="G11" s="56" t="str">
        <x:v>2F</x:v>
      </x:c>
      <x:c r="H11" s="56" t="str">
        <x:v>2F</x:v>
      </x:c>
      <x:c r="I11" s="56" t="str">
        <x:v>仮眠</x:v>
      </x:c>
      <x:c r="J11" s="56" t="str">
        <x:v>仮眠</x:v>
      </x:c>
      <x:c r="K11" s="56" t="str">
        <x:v>仮眠</x:v>
      </x:c>
      <x:c r="L11" s="56" t="str">
        <x:v>仮眠</x:v>
      </x:c>
      <x:c r="M11" s="56" t="str">
        <x:v>2F</x:v>
      </x:c>
      <x:c r="N11" s="56" t="str">
        <x:v>2F</x:v>
      </x:c>
      <x:c r="O11" s="56" t="str">
        <x:v>2F</x:v>
      </x:c>
      <x:c r="P11" s="56" t="str">
        <x:v>2F</x:v>
      </x:c>
      <x:c r="Q11" s="56" t="str">
        <x:v>2F</x:v>
      </x:c>
      <x:c r="R11" s="56" t="str">
        <x:v>2F</x:v>
      </x:c>
      <x:c r="S11" s="56" t="str">
        <x:v>2F</x:v>
      </x:c>
      <x:c r="T11" s="56" t="str">
        <x:v>2F</x:v>
      </x:c>
      <x:c r="U11" s="56" t="str">
        <x:v>2F</x:v>
      </x:c>
      <x:c r="V11" s="56" t="str">
        <x:v>2F</x:v>
      </x:c>
      <x:c r="W11" s="56" t="str">
        <x:f>IF(INDEX('週間仮シフト'!D$7:D$78,MATCH(A11,'週間仮シフト'!$A$7:$A$78,0))="夜","一致","不一致")</x:f>
        <x:v>一致</x:v>
      </x:c>
    </x:row>
    <x:row r="12" ht="26" customHeight="1">
      <x:c r="A12" s="56" t="str">
        <x:v>3F-03</x:v>
      </x:c>
      <x:c r="B12" s="56" t="str">
        <x:v>3F</x:v>
      </x:c>
      <x:c r="C12" s="56" t="str">
        <x:v>3F</x:v>
      </x:c>
      <x:c r="D12" s="56" t="str">
        <x:v>3F</x:v>
      </x:c>
      <x:c r="E12" s="56" t="str">
        <x:v>3F</x:v>
      </x:c>
      <x:c r="F12" s="56" t="str">
        <x:v>3F</x:v>
      </x:c>
      <x:c r="G12" s="56" t="str">
        <x:v>3F</x:v>
      </x:c>
      <x:c r="H12" s="56" t="str">
        <x:v>3F</x:v>
      </x:c>
      <x:c r="I12" s="56" t="str">
        <x:v>3F</x:v>
      </x:c>
      <x:c r="J12" s="56" t="str">
        <x:v>3F</x:v>
      </x:c>
      <x:c r="K12" s="56" t="str">
        <x:v>仮眠</x:v>
      </x:c>
      <x:c r="L12" s="56" t="str">
        <x:v>仮眠</x:v>
      </x:c>
      <x:c r="M12" s="56" t="str">
        <x:v>仮眠</x:v>
      </x:c>
      <x:c r="N12" s="56" t="str">
        <x:v>仮眠</x:v>
      </x:c>
      <x:c r="O12" s="56" t="str">
        <x:v>3F</x:v>
      </x:c>
      <x:c r="P12" s="56" t="str">
        <x:v>3F</x:v>
      </x:c>
      <x:c r="Q12" s="56" t="str">
        <x:v>3F</x:v>
      </x:c>
      <x:c r="R12" s="56" t="str">
        <x:v>3F</x:v>
      </x:c>
      <x:c r="S12" s="56" t="str">
        <x:v>3F</x:v>
      </x:c>
      <x:c r="T12" s="56" t="str">
        <x:v>3F</x:v>
      </x:c>
      <x:c r="U12" s="56" t="str">
        <x:v>3F</x:v>
      </x:c>
      <x:c r="V12" s="56" t="str">
        <x:v>3F</x:v>
      </x:c>
      <x:c r="W12" s="56" t="str">
        <x:f>IF(INDEX('週間仮シフト'!D$7:D$78,MATCH(A12,'週間仮シフト'!$A$7:$A$78,0))="夜","一致","不一致")</x:f>
        <x:v>一致</x:v>
      </x:c>
    </x:row>
    <x:row r="13" ht="26" customHeight="1">
      <x:c r="A13" s="56" t="str">
        <x:v>3F-04</x:v>
      </x:c>
      <x:c r="B13" s="56" t="str">
        <x:v>3F</x:v>
      </x:c>
      <x:c r="C13" s="56" t="str">
        <x:v>3F</x:v>
      </x:c>
      <x:c r="D13" s="56" t="str">
        <x:v>3F</x:v>
      </x:c>
      <x:c r="E13" s="56" t="str">
        <x:v>3F</x:v>
      </x:c>
      <x:c r="F13" s="56" t="str">
        <x:v>3F</x:v>
      </x:c>
      <x:c r="G13" s="56" t="str">
        <x:v>3F</x:v>
      </x:c>
      <x:c r="H13" s="56" t="str">
        <x:v>3F</x:v>
      </x:c>
      <x:c r="I13" s="56" t="str">
        <x:v>3F</x:v>
      </x:c>
      <x:c r="J13" s="56" t="str">
        <x:v>3F</x:v>
      </x:c>
      <x:c r="K13" s="56" t="str">
        <x:v>3F</x:v>
      </x:c>
      <x:c r="L13" s="56" t="str">
        <x:v>3F</x:v>
      </x:c>
      <x:c r="M13" s="56" t="str">
        <x:v>仮眠</x:v>
      </x:c>
      <x:c r="N13" s="56" t="str">
        <x:v>仮眠</x:v>
      </x:c>
      <x:c r="O13" s="56" t="str">
        <x:v>仮眠</x:v>
      </x:c>
      <x:c r="P13" s="56" t="str">
        <x:v>仮眠</x:v>
      </x:c>
      <x:c r="Q13" s="56" t="str">
        <x:v>3F</x:v>
      </x:c>
      <x:c r="R13" s="56" t="str">
        <x:v>3F</x:v>
      </x:c>
      <x:c r="S13" s="56" t="str">
        <x:v>3F</x:v>
      </x:c>
      <x:c r="T13" s="56" t="str">
        <x:v>3F</x:v>
      </x:c>
      <x:c r="U13" s="56" t="str">
        <x:v>3F</x:v>
      </x:c>
      <x:c r="V13" s="56" t="str">
        <x:v>3F</x:v>
      </x:c>
      <x:c r="W13" s="56" t="str">
        <x:f>IF(INDEX('週間仮シフト'!D$7:D$78,MATCH(A13,'週間仮シフト'!$A$7:$A$78,0))="夜","一致","不一致")</x:f>
        <x:v>一致</x:v>
      </x:c>
    </x:row>
    <x:row r="14" ht="26" customHeight="1">
      <x:c r="A14" s="56" t="str">
        <x:v>2F-05</x:v>
      </x:c>
      <x:c r="B14" s="56" t="str">
        <x:v>統括</x:v>
      </x:c>
      <x:c r="C14" s="56" t="str">
        <x:v>1F</x:v>
      </x:c>
      <x:c r="D14" s="56" t="str">
        <x:v>1F</x:v>
      </x:c>
      <x:c r="E14" s="56" t="str">
        <x:v>1F</x:v>
      </x:c>
      <x:c r="F14" s="56" t="str">
        <x:v>1F</x:v>
      </x:c>
      <x:c r="G14" s="56" t="str">
        <x:v>2F</x:v>
      </x:c>
      <x:c r="H14" s="56" t="str">
        <x:v>2F</x:v>
      </x:c>
      <x:c r="I14" s="56" t="str">
        <x:v>2F</x:v>
      </x:c>
      <x:c r="J14" s="56" t="str">
        <x:v>2F</x:v>
      </x:c>
      <x:c r="K14" s="56" t="str">
        <x:v>3F</x:v>
      </x:c>
      <x:c r="L14" s="56" t="str">
        <x:v>3F</x:v>
      </x:c>
      <x:c r="M14" s="56" t="str">
        <x:v>3F</x:v>
      </x:c>
      <x:c r="N14" s="56" t="str">
        <x:v>3F</x:v>
      </x:c>
      <x:c r="O14" s="56" t="str">
        <x:v>仮眠</x:v>
      </x:c>
      <x:c r="P14" s="56" t="str">
        <x:v>仮眠</x:v>
      </x:c>
      <x:c r="Q14" s="56" t="str">
        <x:v>仮眠</x:v>
      </x:c>
      <x:c r="R14" s="56" t="str">
        <x:v>仮眠</x:v>
      </x:c>
      <x:c r="S14" s="56" t="str">
        <x:v>統括</x:v>
      </x:c>
      <x:c r="T14" s="56" t="str">
        <x:v>統括</x:v>
      </x:c>
      <x:c r="U14" s="56" t="str">
        <x:v>統括</x:v>
      </x:c>
      <x:c r="V14" s="56" t="str">
        <x:v>統括</x:v>
      </x:c>
      <x:c r="W14" s="56" t="str">
        <x:f>IF(INDEX('週間仮シフト'!D$7:D$78,MATCH(A14,'週間仮シフト'!$A$7:$A$78,0))="統","一致","不一致")</x:f>
        <x:v>一致</x:v>
      </x:c>
    </x:row>
    <x:row r="15" ht="26" customHeight="1">
      <x:c r="A15" s="56" t="str">
        <x:v>2F-06</x:v>
      </x:c>
      <x:c r="B15" s="56" t="str">
        <x:v>統括</x:v>
      </x:c>
      <x:c r="C15" s="56" t="str">
        <x:v>統括</x:v>
      </x:c>
      <x:c r="D15" s="56" t="str">
        <x:v>統括</x:v>
      </x:c>
      <x:c r="E15" s="56" t="str">
        <x:v>統括</x:v>
      </x:c>
      <x:c r="F15" s="56" t="str">
        <x:v>統括</x:v>
      </x:c>
      <x:c r="G15" s="56" t="str">
        <x:v>統括</x:v>
      </x:c>
      <x:c r="H15" s="56" t="str">
        <x:v>統括</x:v>
      </x:c>
      <x:c r="I15" s="56" t="str">
        <x:v>統括</x:v>
      </x:c>
      <x:c r="J15" s="56" t="str">
        <x:v>統括</x:v>
      </x:c>
      <x:c r="K15" s="56" t="str">
        <x:v>統括</x:v>
      </x:c>
      <x:c r="L15" s="56" t="str">
        <x:v>統括</x:v>
      </x:c>
      <x:c r="M15" s="56" t="str">
        <x:v>統括</x:v>
      </x:c>
      <x:c r="N15" s="56" t="str">
        <x:v>統括</x:v>
      </x:c>
      <x:c r="O15" s="56" t="str">
        <x:v>統括</x:v>
      </x:c>
      <x:c r="P15" s="56" t="str">
        <x:v>統括</x:v>
      </x:c>
      <x:c r="Q15" s="56" t="str">
        <x:v>統括</x:v>
      </x:c>
      <x:c r="R15" s="56" t="str">
        <x:v>統括</x:v>
      </x:c>
      <x:c r="S15" s="56" t="str">
        <x:v>仮眠</x:v>
      </x:c>
      <x:c r="T15" s="56" t="str">
        <x:v>仮眠</x:v>
      </x:c>
      <x:c r="U15" s="56" t="str">
        <x:v>仮眠</x:v>
      </x:c>
      <x:c r="V15" s="56" t="str">
        <x:v>仮眠</x:v>
      </x:c>
      <x:c r="W15" s="56" t="str">
        <x:f>IF(INDEX('週間仮シフト'!D$7:D$78,MATCH(A15,'週間仮シフト'!$A$7:$A$78,0))="統","一致","不一致")</x:f>
        <x:v>一致</x:v>
      </x:c>
    </x:row>
    <x:row r="16" ht="26" customHeight="1">
      <x:c r="A16" s="56" t="str">
        <x:v>2F-23</x:v>
      </x:c>
      <x:c r="B16" s="56" t="str">
        <x:v>短時間</x:v>
      </x:c>
      <x:c r="C16" s="56" t="str">
        <x:v>非勤務</x:v>
      </x:c>
      <x:c r="D16" s="56" t="str">
        <x:v>非勤務</x:v>
      </x:c>
      <x:c r="E16" s="56" t="str">
        <x:v>1F</x:v>
      </x:c>
      <x:c r="F16" s="56" t="str">
        <x:v>1F</x:v>
      </x:c>
      <x:c r="G16" s="56" t="str">
        <x:v>1F</x:v>
      </x:c>
      <x:c r="H16" s="56" t="str">
        <x:v>1F</x:v>
      </x:c>
      <x:c r="I16" s="56" t="str">
        <x:v>2F</x:v>
      </x:c>
      <x:c r="J16" s="56" t="str">
        <x:v>2F</x:v>
      </x:c>
      <x:c r="K16" s="56" t="str">
        <x:v>非勤務</x:v>
      </x:c>
      <x:c r="L16" s="56" t="str">
        <x:v>非勤務</x:v>
      </x:c>
      <x:c r="M16" s="56" t="str">
        <x:v>非勤務</x:v>
      </x:c>
      <x:c r="N16" s="56" t="str">
        <x:v>非勤務</x:v>
      </x:c>
      <x:c r="O16" s="56" t="str">
        <x:v>非勤務</x:v>
      </x:c>
      <x:c r="P16" s="56" t="str">
        <x:v>非勤務</x:v>
      </x:c>
      <x:c r="Q16" s="56" t="str">
        <x:v>非勤務</x:v>
      </x:c>
      <x:c r="R16" s="56" t="str">
        <x:v>非勤務</x:v>
      </x:c>
      <x:c r="S16" s="56" t="str">
        <x:v>非勤務</x:v>
      </x:c>
      <x:c r="T16" s="56" t="str">
        <x:v>非勤務</x:v>
      </x:c>
      <x:c r="U16" s="56" t="str">
        <x:v>非勤務</x:v>
      </x:c>
      <x:c r="V16" s="56" t="str">
        <x:v>非勤務</x:v>
      </x:c>
      <x:c r="W16" s="56" t="str">
        <x:f>IF(INDEX('週間仮シフト'!D$7:D$78,MATCH(A16,'週間仮シフト'!$A$7:$A$78,0))="短A","一致","不一致")</x:f>
        <x:v>一致</x:v>
      </x:c>
    </x:row>
    <x:row r="17" ht="26" customHeight="1">
      <x:c r="A17" s="56" t="str">
        <x:v>1F-24</x:v>
      </x:c>
      <x:c r="B17" s="56" t="str">
        <x:v>短時間</x:v>
      </x:c>
      <x:c r="C17" s="56" t="str">
        <x:v>非勤務</x:v>
      </x:c>
      <x:c r="D17" s="56" t="str">
        <x:v>非勤務</x:v>
      </x:c>
      <x:c r="E17" s="56" t="str">
        <x:v>非勤務</x:v>
      </x:c>
      <x:c r="F17" s="56" t="str">
        <x:v>非勤務</x:v>
      </x:c>
      <x:c r="G17" s="56" t="str">
        <x:v>非勤務</x:v>
      </x:c>
      <x:c r="H17" s="56" t="str">
        <x:v>非勤務</x:v>
      </x:c>
      <x:c r="I17" s="56" t="str">
        <x:v>非勤務</x:v>
      </x:c>
      <x:c r="J17" s="56" t="str">
        <x:v>非勤務</x:v>
      </x:c>
      <x:c r="K17" s="56" t="str">
        <x:v>2F</x:v>
      </x:c>
      <x:c r="L17" s="56" t="str">
        <x:v>2F</x:v>
      </x:c>
      <x:c r="M17" s="56" t="str">
        <x:v>3F</x:v>
      </x:c>
      <x:c r="N17" s="56" t="str">
        <x:v>3F</x:v>
      </x:c>
      <x:c r="O17" s="56" t="str">
        <x:v>3F</x:v>
      </x:c>
      <x:c r="P17" s="56" t="str">
        <x:v>3F</x:v>
      </x:c>
      <x:c r="Q17" s="56" t="str">
        <x:v>非勤務</x:v>
      </x:c>
      <x:c r="R17" s="56" t="str">
        <x:v>非勤務</x:v>
      </x:c>
      <x:c r="S17" s="56" t="str">
        <x:v>非勤務</x:v>
      </x:c>
      <x:c r="T17" s="56" t="str">
        <x:v>非勤務</x:v>
      </x:c>
      <x:c r="U17" s="56" t="str">
        <x:v>非勤務</x:v>
      </x:c>
      <x:c r="V17" s="56" t="str">
        <x:v>非勤務</x:v>
      </x:c>
      <x:c r="W17" s="56" t="str">
        <x:f>IF(INDEX('週間仮シフト'!E$7:E$78,MATCH(A17,'週間仮シフト'!$A$7:$A$78,0))="短B","一致","不一致")</x:f>
        <x:v>一致</x:v>
      </x:c>
    </x:row>
    <x:row r="18" ht="26" customHeight="1">
      <x:c r="A18" s="56"/>
      <x:c r="B18" s="56"/>
      <x:c r="C18" s="56"/>
      <x:c r="D18" s="56"/>
      <x:c r="E18" s="56"/>
      <x:c r="F18" s="56"/>
      <x:c r="G18" s="56"/>
      <x:c r="H18" s="56"/>
      <x:c r="I18" s="56"/>
      <x:c r="J18" s="56"/>
      <x:c r="K18" s="56"/>
      <x:c r="L18" s="56"/>
      <x:c r="M18" s="56"/>
      <x:c r="N18" s="56"/>
      <x:c r="O18" s="56"/>
      <x:c r="P18" s="56"/>
      <x:c r="Q18" s="56"/>
      <x:c r="R18" s="56"/>
      <x:c r="S18" s="56"/>
      <x:c r="T18" s="56"/>
      <x:c r="U18" s="56"/>
      <x:c r="V18" s="56"/>
      <x:c r="W18" s="56"/>
    </x:row>
    <x:row r="19" ht="26" customHeight="1">
      <x:c r="A19" s="56" t="str">
        <x:v>1F対応中</x:v>
      </x:c>
      <x:c r="B19" s="56" t="n">
        <x:f>'施設設定'!H17</x:f>
        <x:v>2</x:v>
      </x:c>
      <x:c r="C19" s="56" t="n">
        <x:f>COUNTIFS(C8:C17,"1F",$W8:$W17,"一致")</x:f>
        <x:v>2</x:v>
      </x:c>
      <x:c r="D19" s="56" t="n">
        <x:f>COUNTIFS(D8:D17,"1F",$W8:$W17,"一致")</x:f>
        <x:v>2</x:v>
      </x:c>
      <x:c r="E19" s="56" t="n">
        <x:f>COUNTIFS(E8:E17,"1F",$W8:$W17,"一致")</x:f>
        <x:v>2</x:v>
      </x:c>
      <x:c r="F19" s="56" t="n">
        <x:f>COUNTIFS(F8:F17,"1F",$W8:$W17,"一致")</x:f>
        <x:v>2</x:v>
      </x:c>
      <x:c r="G19" s="56" t="n">
        <x:f>COUNTIFS(G8:G17,"1F",$W8:$W17,"一致")</x:f>
        <x:v>2</x:v>
      </x:c>
      <x:c r="H19" s="56" t="n">
        <x:f>COUNTIFS(H8:H17,"1F",$W8:$W17,"一致")</x:f>
        <x:v>2</x:v>
      </x:c>
      <x:c r="I19" s="56" t="n">
        <x:f>COUNTIFS(I8:I17,"1F",$W8:$W17,"一致")</x:f>
        <x:v>2</x:v>
      </x:c>
      <x:c r="J19" s="56" t="n">
        <x:f>COUNTIFS(J8:J17,"1F",$W8:$W17,"一致")</x:f>
        <x:v>2</x:v>
      </x:c>
      <x:c r="K19" s="56" t="n">
        <x:f>COUNTIFS(K8:K17,"1F",$W8:$W17,"一致")</x:f>
        <x:v>2</x:v>
      </x:c>
      <x:c r="L19" s="56" t="n">
        <x:f>COUNTIFS(L8:L17,"1F",$W8:$W17,"一致")</x:f>
        <x:v>2</x:v>
      </x:c>
      <x:c r="M19" s="56" t="n">
        <x:f>COUNTIFS(M8:M17,"1F",$W8:$W17,"一致")</x:f>
        <x:v>2</x:v>
      </x:c>
      <x:c r="N19" s="56" t="n">
        <x:f>COUNTIFS(N8:N17,"1F",$W8:$W17,"一致")</x:f>
        <x:v>2</x:v>
      </x:c>
      <x:c r="O19" s="56" t="n">
        <x:f>COUNTIFS(O8:O17,"1F",$W8:$W17,"一致")</x:f>
        <x:v>2</x:v>
      </x:c>
      <x:c r="P19" s="56" t="n">
        <x:f>COUNTIFS(P8:P17,"1F",$W8:$W17,"一致")</x:f>
        <x:v>2</x:v>
      </x:c>
      <x:c r="Q19" s="56" t="n">
        <x:f>COUNTIFS(Q8:Q17,"1F",$W8:$W17,"一致")</x:f>
        <x:v>2</x:v>
      </x:c>
      <x:c r="R19" s="56" t="n">
        <x:f>COUNTIFS(R8:R17,"1F",$W8:$W17,"一致")</x:f>
        <x:v>2</x:v>
      </x:c>
      <x:c r="S19" s="56" t="n">
        <x:f>COUNTIFS(S8:S17,"1F",$W8:$W17,"一致")</x:f>
        <x:v>2</x:v>
      </x:c>
      <x:c r="T19" s="56" t="n">
        <x:f>COUNTIFS(T8:T17,"1F",$W8:$W17,"一致")</x:f>
        <x:v>2</x:v>
      </x:c>
      <x:c r="U19" s="56" t="n">
        <x:f>COUNTIFS(U8:U17,"1F",$W8:$W17,"一致")</x:f>
        <x:v>2</x:v>
      </x:c>
      <x:c r="V19" s="56" t="n">
        <x:f>COUNTIFS(V8:V17,"1F",$W8:$W17,"一致")</x:f>
        <x:v>2</x:v>
      </x:c>
      <x:c r="W19" s="56"/>
    </x:row>
    <x:row r="20" ht="26" customHeight="1">
      <x:c r="A20" s="56" t="str">
        <x:v>2F対応中</x:v>
      </x:c>
      <x:c r="B20" s="56" t="n">
        <x:f>'施設設定'!H18</x:f>
        <x:v>2</x:v>
      </x:c>
      <x:c r="C20" s="56" t="n">
        <x:f>COUNTIFS(C8:C17,"2F",$W8:$W17,"一致")</x:f>
        <x:v>2</x:v>
      </x:c>
      <x:c r="D20" s="56" t="n">
        <x:f>COUNTIFS(D8:D17,"2F",$W8:$W17,"一致")</x:f>
        <x:v>2</x:v>
      </x:c>
      <x:c r="E20" s="56" t="n">
        <x:f>COUNTIFS(E8:E17,"2F",$W8:$W17,"一致")</x:f>
        <x:v>2</x:v>
      </x:c>
      <x:c r="F20" s="56" t="n">
        <x:f>COUNTIFS(F8:F17,"2F",$W8:$W17,"一致")</x:f>
        <x:v>2</x:v>
      </x:c>
      <x:c r="G20" s="56" t="n">
        <x:f>COUNTIFS(G8:G17,"2F",$W8:$W17,"一致")</x:f>
        <x:v>2</x:v>
      </x:c>
      <x:c r="H20" s="56" t="n">
        <x:f>COUNTIFS(H8:H17,"2F",$W8:$W17,"一致")</x:f>
        <x:v>2</x:v>
      </x:c>
      <x:c r="I20" s="56" t="n">
        <x:f>COUNTIFS(I8:I17,"2F",$W8:$W17,"一致")</x:f>
        <x:v>2</x:v>
      </x:c>
      <x:c r="J20" s="56" t="n">
        <x:f>COUNTIFS(J8:J17,"2F",$W8:$W17,"一致")</x:f>
        <x:v>2</x:v>
      </x:c>
      <x:c r="K20" s="56" t="n">
        <x:f>COUNTIFS(K8:K17,"2F",$W8:$W17,"一致")</x:f>
        <x:v>2</x:v>
      </x:c>
      <x:c r="L20" s="56" t="n">
        <x:f>COUNTIFS(L8:L17,"2F",$W8:$W17,"一致")</x:f>
        <x:v>2</x:v>
      </x:c>
      <x:c r="M20" s="56" t="n">
        <x:f>COUNTIFS(M8:M17,"2F",$W8:$W17,"一致")</x:f>
        <x:v>2</x:v>
      </x:c>
      <x:c r="N20" s="56" t="n">
        <x:f>COUNTIFS(N8:N17,"2F",$W8:$W17,"一致")</x:f>
        <x:v>2</x:v>
      </x:c>
      <x:c r="O20" s="56" t="n">
        <x:f>COUNTIFS(O8:O17,"2F",$W8:$W17,"一致")</x:f>
        <x:v>2</x:v>
      </x:c>
      <x:c r="P20" s="56" t="n">
        <x:f>COUNTIFS(P8:P17,"2F",$W8:$W17,"一致")</x:f>
        <x:v>2</x:v>
      </x:c>
      <x:c r="Q20" s="56" t="n">
        <x:f>COUNTIFS(Q8:Q17,"2F",$W8:$W17,"一致")</x:f>
        <x:v>2</x:v>
      </x:c>
      <x:c r="R20" s="56" t="n">
        <x:f>COUNTIFS(R8:R17,"2F",$W8:$W17,"一致")</x:f>
        <x:v>2</x:v>
      </x:c>
      <x:c r="S20" s="56" t="n">
        <x:f>COUNTIFS(S8:S17,"2F",$W8:$W17,"一致")</x:f>
        <x:v>2</x:v>
      </x:c>
      <x:c r="T20" s="56" t="n">
        <x:f>COUNTIFS(T8:T17,"2F",$W8:$W17,"一致")</x:f>
        <x:v>2</x:v>
      </x:c>
      <x:c r="U20" s="56" t="n">
        <x:f>COUNTIFS(U8:U17,"2F",$W8:$W17,"一致")</x:f>
        <x:v>2</x:v>
      </x:c>
      <x:c r="V20" s="56" t="n">
        <x:f>COUNTIFS(V8:V17,"2F",$W8:$W17,"一致")</x:f>
        <x:v>2</x:v>
      </x:c>
      <x:c r="W20" s="56"/>
    </x:row>
    <x:row r="21" ht="26" customHeight="1">
      <x:c r="A21" s="56" t="str">
        <x:v>3F対応中</x:v>
      </x:c>
      <x:c r="B21" s="56" t="n">
        <x:f>'施設設定'!H19</x:f>
        <x:v>2</x:v>
      </x:c>
      <x:c r="C21" s="56" t="n">
        <x:f>COUNTIFS(C8:C17,"3F",$W8:$W17,"一致")</x:f>
        <x:v>2</x:v>
      </x:c>
      <x:c r="D21" s="56" t="n">
        <x:f>COUNTIFS(D8:D17,"3F",$W8:$W17,"一致")</x:f>
        <x:v>2</x:v>
      </x:c>
      <x:c r="E21" s="56" t="n">
        <x:f>COUNTIFS(E8:E17,"3F",$W8:$W17,"一致")</x:f>
        <x:v>2</x:v>
      </x:c>
      <x:c r="F21" s="56" t="n">
        <x:f>COUNTIFS(F8:F17,"3F",$W8:$W17,"一致")</x:f>
        <x:v>2</x:v>
      </x:c>
      <x:c r="G21" s="56" t="n">
        <x:f>COUNTIFS(G8:G17,"3F",$W8:$W17,"一致")</x:f>
        <x:v>2</x:v>
      </x:c>
      <x:c r="H21" s="56" t="n">
        <x:f>COUNTIFS(H8:H17,"3F",$W8:$W17,"一致")</x:f>
        <x:v>2</x:v>
      </x:c>
      <x:c r="I21" s="56" t="n">
        <x:f>COUNTIFS(I8:I17,"3F",$W8:$W17,"一致")</x:f>
        <x:v>2</x:v>
      </x:c>
      <x:c r="J21" s="56" t="n">
        <x:f>COUNTIFS(J8:J17,"3F",$W8:$W17,"一致")</x:f>
        <x:v>2</x:v>
      </x:c>
      <x:c r="K21" s="56" t="n">
        <x:f>COUNTIFS(K8:K17,"3F",$W8:$W17,"一致")</x:f>
        <x:v>2</x:v>
      </x:c>
      <x:c r="L21" s="56" t="n">
        <x:f>COUNTIFS(L8:L17,"3F",$W8:$W17,"一致")</x:f>
        <x:v>2</x:v>
      </x:c>
      <x:c r="M21" s="56" t="n">
        <x:f>COUNTIFS(M8:M17,"3F",$W8:$W17,"一致")</x:f>
        <x:v>2</x:v>
      </x:c>
      <x:c r="N21" s="56" t="n">
        <x:f>COUNTIFS(N8:N17,"3F",$W8:$W17,"一致")</x:f>
        <x:v>2</x:v>
      </x:c>
      <x:c r="O21" s="56" t="n">
        <x:f>COUNTIFS(O8:O17,"3F",$W8:$W17,"一致")</x:f>
        <x:v>2</x:v>
      </x:c>
      <x:c r="P21" s="56" t="n">
        <x:f>COUNTIFS(P8:P17,"3F",$W8:$W17,"一致")</x:f>
        <x:v>2</x:v>
      </x:c>
      <x:c r="Q21" s="56" t="n">
        <x:f>COUNTIFS(Q8:Q17,"3F",$W8:$W17,"一致")</x:f>
        <x:v>2</x:v>
      </x:c>
      <x:c r="R21" s="56" t="n">
        <x:f>COUNTIFS(R8:R17,"3F",$W8:$W17,"一致")</x:f>
        <x:v>2</x:v>
      </x:c>
      <x:c r="S21" s="56" t="n">
        <x:f>COUNTIFS(S8:S17,"3F",$W8:$W17,"一致")</x:f>
        <x:v>2</x:v>
      </x:c>
      <x:c r="T21" s="56" t="n">
        <x:f>COUNTIFS(T8:T17,"3F",$W8:$W17,"一致")</x:f>
        <x:v>2</x:v>
      </x:c>
      <x:c r="U21" s="56" t="n">
        <x:f>COUNTIFS(U8:U17,"3F",$W8:$W17,"一致")</x:f>
        <x:v>2</x:v>
      </x:c>
      <x:c r="V21" s="56" t="n">
        <x:f>COUNTIFS(V8:V17,"3F",$W8:$W17,"一致")</x:f>
        <x:v>2</x:v>
      </x:c>
      <x:c r="W21" s="56"/>
    </x:row>
    <x:row r="22" ht="26" customHeight="1">
      <x:c r="A22" s="56" t="str">
        <x:v>自由な統括</x:v>
      </x:c>
      <x:c r="B22" s="56" t="n">
        <x:f>'施設設定'!B12</x:f>
        <x:v>1</x:v>
      </x:c>
      <x:c r="C22" s="56" t="n">
        <x:f>COUNTIFS(C8:C17,"統括",$W8:$W17,"一致")</x:f>
        <x:v>1</x:v>
      </x:c>
      <x:c r="D22" s="56" t="n">
        <x:f>COUNTIFS(D8:D17,"統括",$W8:$W17,"一致")</x:f>
        <x:v>1</x:v>
      </x:c>
      <x:c r="E22" s="56" t="n">
        <x:f>COUNTIFS(E8:E17,"統括",$W8:$W17,"一致")</x:f>
        <x:v>1</x:v>
      </x:c>
      <x:c r="F22" s="56" t="n">
        <x:f>COUNTIFS(F8:F17,"統括",$W8:$W17,"一致")</x:f>
        <x:v>1</x:v>
      </x:c>
      <x:c r="G22" s="56" t="n">
        <x:f>COUNTIFS(G8:G17,"統括",$W8:$W17,"一致")</x:f>
        <x:v>1</x:v>
      </x:c>
      <x:c r="H22" s="56" t="n">
        <x:f>COUNTIFS(H8:H17,"統括",$W8:$W17,"一致")</x:f>
        <x:v>1</x:v>
      </x:c>
      <x:c r="I22" s="56" t="n">
        <x:f>COUNTIFS(I8:I17,"統括",$W8:$W17,"一致")</x:f>
        <x:v>1</x:v>
      </x:c>
      <x:c r="J22" s="56" t="n">
        <x:f>COUNTIFS(J8:J17,"統括",$W8:$W17,"一致")</x:f>
        <x:v>1</x:v>
      </x:c>
      <x:c r="K22" s="56" t="n">
        <x:f>COUNTIFS(K8:K17,"統括",$W8:$W17,"一致")</x:f>
        <x:v>1</x:v>
      </x:c>
      <x:c r="L22" s="56" t="n">
        <x:f>COUNTIFS(L8:L17,"統括",$W8:$W17,"一致")</x:f>
        <x:v>1</x:v>
      </x:c>
      <x:c r="M22" s="56" t="n">
        <x:f>COUNTIFS(M8:M17,"統括",$W8:$W17,"一致")</x:f>
        <x:v>1</x:v>
      </x:c>
      <x:c r="N22" s="56" t="n">
        <x:f>COUNTIFS(N8:N17,"統括",$W8:$W17,"一致")</x:f>
        <x:v>1</x:v>
      </x:c>
      <x:c r="O22" s="56" t="n">
        <x:f>COUNTIFS(O8:O17,"統括",$W8:$W17,"一致")</x:f>
        <x:v>1</x:v>
      </x:c>
      <x:c r="P22" s="56" t="n">
        <x:f>COUNTIFS(P8:P17,"統括",$W8:$W17,"一致")</x:f>
        <x:v>1</x:v>
      </x:c>
      <x:c r="Q22" s="56" t="n">
        <x:f>COUNTIFS(Q8:Q17,"統括",$W8:$W17,"一致")</x:f>
        <x:v>1</x:v>
      </x:c>
      <x:c r="R22" s="56" t="n">
        <x:f>COUNTIFS(R8:R17,"統括",$W8:$W17,"一致")</x:f>
        <x:v>1</x:v>
      </x:c>
      <x:c r="S22" s="56" t="n">
        <x:f>COUNTIFS(S8:S17,"統括",$W8:$W17,"一致")</x:f>
        <x:v>1</x:v>
      </x:c>
      <x:c r="T22" s="56" t="n">
        <x:f>COUNTIFS(T8:T17,"統括",$W8:$W17,"一致")</x:f>
        <x:v>1</x:v>
      </x:c>
      <x:c r="U22" s="56" t="n">
        <x:f>COUNTIFS(U8:U17,"統括",$W8:$W17,"一致")</x:f>
        <x:v>1</x:v>
      </x:c>
      <x:c r="V22" s="56" t="n">
        <x:f>COUNTIFS(V8:V17,"統括",$W8:$W17,"一致")</x:f>
        <x:v>1</x:v>
      </x:c>
      <x:c r="W22" s="56"/>
    </x:row>
    <x:row r="23" ht="26" customHeight="1">
      <x:c r="A23" s="56" t="str">
        <x:v>配置判定</x:v>
      </x:c>
      <x:c r="B23" s="56"/>
      <x:c r="C23" s="56" t="str">
        <x:f>IF(AND(C19&gt;=$B19,C20&gt;=$B20,C21&gt;=$B21,C22&gt;=$B22),"充足","不足")</x:f>
        <x:v>充足</x:v>
      </x:c>
      <x:c r="D23" s="56" t="str">
        <x:f>IF(AND(D19&gt;=$B19,D20&gt;=$B20,D21&gt;=$B21,D22&gt;=$B22),"充足","不足")</x:f>
        <x:v>充足</x:v>
      </x:c>
      <x:c r="E23" s="56" t="str">
        <x:f>IF(AND(E19&gt;=$B19,E20&gt;=$B20,E21&gt;=$B21,E22&gt;=$B22),"充足","不足")</x:f>
        <x:v>充足</x:v>
      </x:c>
      <x:c r="F23" s="56" t="str">
        <x:f>IF(AND(F19&gt;=$B19,F20&gt;=$B20,F21&gt;=$B21,F22&gt;=$B22),"充足","不足")</x:f>
        <x:v>充足</x:v>
      </x:c>
      <x:c r="G23" s="56" t="str">
        <x:f>IF(AND(G19&gt;=$B19,G20&gt;=$B20,G21&gt;=$B21,G22&gt;=$B22),"充足","不足")</x:f>
        <x:v>充足</x:v>
      </x:c>
      <x:c r="H23" s="56" t="str">
        <x:f>IF(AND(H19&gt;=$B19,H20&gt;=$B20,H21&gt;=$B21,H22&gt;=$B22),"充足","不足")</x:f>
        <x:v>充足</x:v>
      </x:c>
      <x:c r="I23" s="56" t="str">
        <x:f>IF(AND(I19&gt;=$B19,I20&gt;=$B20,I21&gt;=$B21,I22&gt;=$B22),"充足","不足")</x:f>
        <x:v>充足</x:v>
      </x:c>
      <x:c r="J23" s="56" t="str">
        <x:f>IF(AND(J19&gt;=$B19,J20&gt;=$B20,J21&gt;=$B21,J22&gt;=$B22),"充足","不足")</x:f>
        <x:v>充足</x:v>
      </x:c>
      <x:c r="K23" s="56" t="str">
        <x:f>IF(AND(K19&gt;=$B19,K20&gt;=$B20,K21&gt;=$B21,K22&gt;=$B22),"充足","不足")</x:f>
        <x:v>充足</x:v>
      </x:c>
      <x:c r="L23" s="56" t="str">
        <x:f>IF(AND(L19&gt;=$B19,L20&gt;=$B20,L21&gt;=$B21,L22&gt;=$B22),"充足","不足")</x:f>
        <x:v>充足</x:v>
      </x:c>
      <x:c r="M23" s="56" t="str">
        <x:f>IF(AND(M19&gt;=$B19,M20&gt;=$B20,M21&gt;=$B21,M22&gt;=$B22),"充足","不足")</x:f>
        <x:v>充足</x:v>
      </x:c>
      <x:c r="N23" s="56" t="str">
        <x:f>IF(AND(N19&gt;=$B19,N20&gt;=$B20,N21&gt;=$B21,N22&gt;=$B22),"充足","不足")</x:f>
        <x:v>充足</x:v>
      </x:c>
      <x:c r="O23" s="56" t="str">
        <x:f>IF(AND(O19&gt;=$B19,O20&gt;=$B20,O21&gt;=$B21,O22&gt;=$B22),"充足","不足")</x:f>
        <x:v>充足</x:v>
      </x:c>
      <x:c r="P23" s="56" t="str">
        <x:f>IF(AND(P19&gt;=$B19,P20&gt;=$B20,P21&gt;=$B21,P22&gt;=$B22),"充足","不足")</x:f>
        <x:v>充足</x:v>
      </x:c>
      <x:c r="Q23" s="56" t="str">
        <x:f>IF(AND(Q19&gt;=$B19,Q20&gt;=$B20,Q21&gt;=$B21,Q22&gt;=$B22),"充足","不足")</x:f>
        <x:v>充足</x:v>
      </x:c>
      <x:c r="R23" s="56" t="str">
        <x:f>IF(AND(R19&gt;=$B19,R20&gt;=$B20,R21&gt;=$B21,R22&gt;=$B22),"充足","不足")</x:f>
        <x:v>充足</x:v>
      </x:c>
      <x:c r="S23" s="56" t="str">
        <x:f>IF(AND(S19&gt;=$B19,S20&gt;=$B20,S21&gt;=$B21,S22&gt;=$B22),"充足","不足")</x:f>
        <x:v>充足</x:v>
      </x:c>
      <x:c r="T23" s="56" t="str">
        <x:f>IF(AND(T19&gt;=$B19,T20&gt;=$B20,T21&gt;=$B21,T22&gt;=$B22),"充足","不足")</x:f>
        <x:v>充足</x:v>
      </x:c>
      <x:c r="U23" s="56" t="str">
        <x:f>IF(AND(U19&gt;=$B19,U20&gt;=$B20,U21&gt;=$B21,U22&gt;=$B22),"充足","不足")</x:f>
        <x:v>充足</x:v>
      </x:c>
      <x:c r="V23" s="56" t="str">
        <x:f>IF(AND(V19&gt;=$B19,V20&gt;=$B20,V21&gt;=$B21,V22&gt;=$B22),"充足","不足")</x:f>
        <x:v>充足</x:v>
      </x:c>
      <x:c r="W23" s="56"/>
    </x:row>
    <x:row r="24" ht="26" customHeight="1">
      <x:c r="A24" s="56"/>
      <x:c r="B24" s="56"/>
      <x:c r="C24" s="56"/>
      <x:c r="D24" s="56"/>
      <x:c r="E24" s="56"/>
      <x:c r="F24" s="56"/>
      <x:c r="G24" s="56"/>
      <x:c r="H24" s="56"/>
      <x:c r="I24" s="56"/>
      <x:c r="J24" s="56"/>
      <x:c r="K24" s="56"/>
      <x:c r="L24" s="56"/>
      <x:c r="M24" s="56"/>
      <x:c r="N24" s="56"/>
      <x:c r="O24" s="56"/>
      <x:c r="P24" s="56"/>
      <x:c r="Q24" s="56"/>
      <x:c r="R24" s="56"/>
      <x:c r="S24" s="56"/>
      <x:c r="T24" s="56"/>
      <x:c r="U24" s="56"/>
      <x:c r="V24" s="56"/>
      <x:c r="W24" s="56"/>
    </x:row>
    <x:row r="25" ht="26" customHeight="1">
      <x:c r="A25" s="56"/>
      <x:c r="B25" s="56"/>
      <x:c r="C25" s="56"/>
      <x:c r="D25" s="56"/>
      <x:c r="E25" s="56"/>
      <x:c r="F25" s="56"/>
      <x:c r="G25" s="56"/>
      <x:c r="H25" s="56"/>
      <x:c r="I25" s="56"/>
      <x:c r="J25" s="56"/>
      <x:c r="K25" s="56"/>
      <x:c r="L25" s="56"/>
      <x:c r="M25" s="56"/>
      <x:c r="N25" s="56"/>
      <x:c r="O25" s="56"/>
      <x:c r="P25" s="56"/>
      <x:c r="Q25" s="56"/>
      <x:c r="R25" s="56"/>
      <x:c r="S25" s="56"/>
      <x:c r="T25" s="56"/>
      <x:c r="U25" s="56"/>
      <x:c r="V25" s="56"/>
      <x:c r="W25" s="56"/>
    </x:row>
    <x:row r="26" ht="26" customHeight="1">
      <x:c r="A26" s="56"/>
      <x:c r="B26" s="56"/>
      <x:c r="C26" s="56"/>
      <x:c r="D26" s="56"/>
      <x:c r="E26" s="56"/>
      <x:c r="F26" s="56"/>
      <x:c r="G26" s="56"/>
      <x:c r="H26" s="56"/>
      <x:c r="I26" s="56"/>
      <x:c r="J26" s="56"/>
      <x:c r="K26" s="56"/>
      <x:c r="L26" s="56"/>
      <x:c r="M26" s="56"/>
      <x:c r="N26" s="56"/>
      <x:c r="O26" s="56"/>
      <x:c r="P26" s="56"/>
      <x:c r="Q26" s="56"/>
      <x:c r="R26" s="56"/>
      <x:c r="S26" s="56"/>
      <x:c r="T26" s="56"/>
      <x:c r="U26" s="56"/>
      <x:c r="V26" s="56"/>
      <x:c r="W26" s="56"/>
    </x:row>
    <x:row r="27" ht="26" customHeight="1">
      <x:c r="A27" s="56"/>
      <x:c r="B27" s="56"/>
      <x:c r="C27" s="56"/>
      <x:c r="D27" s="56"/>
      <x:c r="E27" s="56"/>
      <x:c r="F27" s="56"/>
      <x:c r="G27" s="56"/>
      <x:c r="H27" s="56"/>
      <x:c r="I27" s="56"/>
      <x:c r="J27" s="56"/>
      <x:c r="K27" s="56"/>
      <x:c r="L27" s="56"/>
      <x:c r="M27" s="56"/>
      <x:c r="N27" s="56"/>
      <x:c r="O27" s="56"/>
      <x:c r="P27" s="56"/>
      <x:c r="Q27" s="56"/>
      <x:c r="R27" s="56"/>
      <x:c r="S27" s="56"/>
      <x:c r="T27" s="56"/>
      <x:c r="U27" s="56"/>
      <x:c r="V27" s="56"/>
      <x:c r="W27" s="56"/>
    </x:row>
    <x:row r="28" ht="26" customHeight="1">
      <x:c r="A28" s="56" t="str">
        <x:v>10/6（火）開始の夜勤</x:v>
      </x:c>
      <x:c r="B28" s="56"/>
      <x:c r="C28" s="56"/>
      <x:c r="D28" s="56"/>
      <x:c r="E28" s="56"/>
      <x:c r="F28" s="56"/>
      <x:c r="G28" s="56"/>
      <x:c r="H28" s="56"/>
      <x:c r="I28" s="56"/>
      <x:c r="J28" s="56"/>
      <x:c r="K28" s="56"/>
      <x:c r="L28" s="56"/>
      <x:c r="M28" s="56"/>
      <x:c r="N28" s="56"/>
      <x:c r="O28" s="56"/>
      <x:c r="P28" s="56"/>
      <x:c r="Q28" s="56"/>
      <x:c r="R28" s="56"/>
      <x:c r="S28" s="56"/>
      <x:c r="T28" s="56"/>
      <x:c r="U28" s="56"/>
      <x:c r="V28" s="56"/>
      <x:c r="W28" s="56"/>
    </x:row>
    <x:row r="29" ht="40" customHeight="1">
      <x:c r="A29" s="95" t="str">
        <x:v>職員ID</x:v>
      </x:c>
      <x:c r="B29" s="95" t="str">
        <x:v>基本役割</x:v>
      </x:c>
      <x:c r="C29" s="97" t="n">
        <x:v>46301.875</x:v>
      </x:c>
      <x:c r="D29" s="97" t="n">
        <x:v>46301.895833333336</x:v>
      </x:c>
      <x:c r="E29" s="97" t="n">
        <x:v>46301.916666666664</x:v>
      </x:c>
      <x:c r="F29" s="97" t="n">
        <x:v>46301.9375</x:v>
      </x:c>
      <x:c r="G29" s="97" t="n">
        <x:v>46301.958333333336</x:v>
      </x:c>
      <x:c r="H29" s="97" t="n">
        <x:v>46301.979166666664</x:v>
      </x:c>
      <x:c r="I29" s="97" t="n">
        <x:v>46302</x:v>
      </x:c>
      <x:c r="J29" s="97" t="n">
        <x:v>46302.020833333336</x:v>
      </x:c>
      <x:c r="K29" s="97" t="n">
        <x:v>46302.041666666664</x:v>
      </x:c>
      <x:c r="L29" s="97" t="n">
        <x:v>46302.0625</x:v>
      </x:c>
      <x:c r="M29" s="97" t="n">
        <x:v>46302.083333333336</x:v>
      </x:c>
      <x:c r="N29" s="97" t="n">
        <x:v>46302.104166666664</x:v>
      </x:c>
      <x:c r="O29" s="97" t="n">
        <x:v>46302.125</x:v>
      </x:c>
      <x:c r="P29" s="97" t="n">
        <x:v>46302.145833333336</x:v>
      </x:c>
      <x:c r="Q29" s="97" t="n">
        <x:v>46302.166666666664</x:v>
      </x:c>
      <x:c r="R29" s="97" t="n">
        <x:v>46302.1875</x:v>
      </x:c>
      <x:c r="S29" s="97" t="n">
        <x:v>46302.208333333336</x:v>
      </x:c>
      <x:c r="T29" s="97" t="n">
        <x:v>46302.229166666664</x:v>
      </x:c>
      <x:c r="U29" s="97" t="n">
        <x:v>46302.25</x:v>
      </x:c>
      <x:c r="V29" s="97" t="n">
        <x:v>46302.270833333336</x:v>
      </x:c>
      <x:c r="W29" s="95" t="str">
        <x:v>仮シフト一致</x:v>
      </x:c>
    </x:row>
    <x:row r="30" ht="26" customHeight="1">
      <x:c r="A30" s="56" t="str">
        <x:v>1F-07</x:v>
      </x:c>
      <x:c r="B30" s="56" t="str">
        <x:v>1F</x:v>
      </x:c>
      <x:c r="C30" s="56" t="str">
        <x:v>仮眠</x:v>
      </x:c>
      <x:c r="D30" s="56" t="str">
        <x:v>仮眠</x:v>
      </x:c>
      <x:c r="E30" s="56" t="str">
        <x:v>仮眠</x:v>
      </x:c>
      <x:c r="F30" s="56" t="str">
        <x:v>仮眠</x:v>
      </x:c>
      <x:c r="G30" s="56" t="str">
        <x:v>1F</x:v>
      </x:c>
      <x:c r="H30" s="56" t="str">
        <x:v>1F</x:v>
      </x:c>
      <x:c r="I30" s="56" t="str">
        <x:v>1F</x:v>
      </x:c>
      <x:c r="J30" s="56" t="str">
        <x:v>1F</x:v>
      </x:c>
      <x:c r="K30" s="56" t="str">
        <x:v>1F</x:v>
      </x:c>
      <x:c r="L30" s="56" t="str">
        <x:v>1F</x:v>
      </x:c>
      <x:c r="M30" s="56" t="str">
        <x:v>1F</x:v>
      </x:c>
      <x:c r="N30" s="56" t="str">
        <x:v>1F</x:v>
      </x:c>
      <x:c r="O30" s="56" t="str">
        <x:v>1F</x:v>
      </x:c>
      <x:c r="P30" s="56" t="str">
        <x:v>1F</x:v>
      </x:c>
      <x:c r="Q30" s="56" t="str">
        <x:v>1F</x:v>
      </x:c>
      <x:c r="R30" s="56" t="str">
        <x:v>1F</x:v>
      </x:c>
      <x:c r="S30" s="56" t="str">
        <x:v>1F</x:v>
      </x:c>
      <x:c r="T30" s="56" t="str">
        <x:v>1F</x:v>
      </x:c>
      <x:c r="U30" s="56" t="str">
        <x:v>1F</x:v>
      </x:c>
      <x:c r="V30" s="56" t="str">
        <x:v>1F</x:v>
      </x:c>
      <x:c r="W30" s="56" t="str">
        <x:f>IF(INDEX('週間仮シフト'!E$7:E$78,MATCH(A30,'週間仮シフト'!$A$7:$A$78,0))="夜","一致","不一致")</x:f>
        <x:v>一致</x:v>
      </x:c>
    </x:row>
    <x:row r="31" ht="26" customHeight="1">
      <x:c r="A31" s="56" t="str">
        <x:v>1F-08</x:v>
      </x:c>
      <x:c r="B31" s="56" t="str">
        <x:v>1F</x:v>
      </x:c>
      <x:c r="C31" s="56" t="str">
        <x:v>1F</x:v>
      </x:c>
      <x:c r="D31" s="56" t="str">
        <x:v>1F</x:v>
      </x:c>
      <x:c r="E31" s="56" t="str">
        <x:v>仮眠</x:v>
      </x:c>
      <x:c r="F31" s="56" t="str">
        <x:v>仮眠</x:v>
      </x:c>
      <x:c r="G31" s="56" t="str">
        <x:v>仮眠</x:v>
      </x:c>
      <x:c r="H31" s="56" t="str">
        <x:v>仮眠</x:v>
      </x:c>
      <x:c r="I31" s="56" t="str">
        <x:v>1F</x:v>
      </x:c>
      <x:c r="J31" s="56" t="str">
        <x:v>1F</x:v>
      </x:c>
      <x:c r="K31" s="56" t="str">
        <x:v>1F</x:v>
      </x:c>
      <x:c r="L31" s="56" t="str">
        <x:v>1F</x:v>
      </x:c>
      <x:c r="M31" s="56" t="str">
        <x:v>1F</x:v>
      </x:c>
      <x:c r="N31" s="56" t="str">
        <x:v>1F</x:v>
      </x:c>
      <x:c r="O31" s="56" t="str">
        <x:v>1F</x:v>
      </x:c>
      <x:c r="P31" s="56" t="str">
        <x:v>1F</x:v>
      </x:c>
      <x:c r="Q31" s="56" t="str">
        <x:v>1F</x:v>
      </x:c>
      <x:c r="R31" s="56" t="str">
        <x:v>1F</x:v>
      </x:c>
      <x:c r="S31" s="56" t="str">
        <x:v>1F</x:v>
      </x:c>
      <x:c r="T31" s="56" t="str">
        <x:v>1F</x:v>
      </x:c>
      <x:c r="U31" s="56" t="str">
        <x:v>1F</x:v>
      </x:c>
      <x:c r="V31" s="56" t="str">
        <x:v>1F</x:v>
      </x:c>
      <x:c r="W31" s="56" t="str">
        <x:f>IF(INDEX('週間仮シフト'!E$7:E$78,MATCH(A31,'週間仮シフト'!$A$7:$A$78,0))="夜","一致","不一致")</x:f>
        <x:v>一致</x:v>
      </x:c>
    </x:row>
    <x:row r="32" ht="26" customHeight="1">
      <x:c r="A32" s="56" t="str">
        <x:v>2F-07</x:v>
      </x:c>
      <x:c r="B32" s="56" t="str">
        <x:v>2F</x:v>
      </x:c>
      <x:c r="C32" s="56" t="str">
        <x:v>2F</x:v>
      </x:c>
      <x:c r="D32" s="56" t="str">
        <x:v>2F</x:v>
      </x:c>
      <x:c r="E32" s="56" t="str">
        <x:v>2F</x:v>
      </x:c>
      <x:c r="F32" s="56" t="str">
        <x:v>2F</x:v>
      </x:c>
      <x:c r="G32" s="56" t="str">
        <x:v>仮眠</x:v>
      </x:c>
      <x:c r="H32" s="56" t="str">
        <x:v>仮眠</x:v>
      </x:c>
      <x:c r="I32" s="56" t="str">
        <x:v>仮眠</x:v>
      </x:c>
      <x:c r="J32" s="56" t="str">
        <x:v>仮眠</x:v>
      </x:c>
      <x:c r="K32" s="56" t="str">
        <x:v>2F</x:v>
      </x:c>
      <x:c r="L32" s="56" t="str">
        <x:v>2F</x:v>
      </x:c>
      <x:c r="M32" s="56" t="str">
        <x:v>2F</x:v>
      </x:c>
      <x:c r="N32" s="56" t="str">
        <x:v>2F</x:v>
      </x:c>
      <x:c r="O32" s="56" t="str">
        <x:v>2F</x:v>
      </x:c>
      <x:c r="P32" s="56" t="str">
        <x:v>2F</x:v>
      </x:c>
      <x:c r="Q32" s="56" t="str">
        <x:v>2F</x:v>
      </x:c>
      <x:c r="R32" s="56" t="str">
        <x:v>2F</x:v>
      </x:c>
      <x:c r="S32" s="56" t="str">
        <x:v>2F</x:v>
      </x:c>
      <x:c r="T32" s="56" t="str">
        <x:v>2F</x:v>
      </x:c>
      <x:c r="U32" s="56" t="str">
        <x:v>2F</x:v>
      </x:c>
      <x:c r="V32" s="56" t="str">
        <x:v>2F</x:v>
      </x:c>
      <x:c r="W32" s="56" t="str">
        <x:f>IF(INDEX('週間仮シフト'!E$7:E$78,MATCH(A32,'週間仮シフト'!$A$7:$A$78,0))="夜","一致","不一致")</x:f>
        <x:v>一致</x:v>
      </x:c>
    </x:row>
    <x:row r="33" ht="26" customHeight="1">
      <x:c r="A33" s="56" t="str">
        <x:v>2F-08</x:v>
      </x:c>
      <x:c r="B33" s="56" t="str">
        <x:v>2F</x:v>
      </x:c>
      <x:c r="C33" s="56" t="str">
        <x:v>2F</x:v>
      </x:c>
      <x:c r="D33" s="56" t="str">
        <x:v>2F</x:v>
      </x:c>
      <x:c r="E33" s="56" t="str">
        <x:v>2F</x:v>
      </x:c>
      <x:c r="F33" s="56" t="str">
        <x:v>2F</x:v>
      </x:c>
      <x:c r="G33" s="56" t="str">
        <x:v>2F</x:v>
      </x:c>
      <x:c r="H33" s="56" t="str">
        <x:v>2F</x:v>
      </x:c>
      <x:c r="I33" s="56" t="str">
        <x:v>仮眠</x:v>
      </x:c>
      <x:c r="J33" s="56" t="str">
        <x:v>仮眠</x:v>
      </x:c>
      <x:c r="K33" s="56" t="str">
        <x:v>仮眠</x:v>
      </x:c>
      <x:c r="L33" s="56" t="str">
        <x:v>仮眠</x:v>
      </x:c>
      <x:c r="M33" s="56" t="str">
        <x:v>2F</x:v>
      </x:c>
      <x:c r="N33" s="56" t="str">
        <x:v>2F</x:v>
      </x:c>
      <x:c r="O33" s="56" t="str">
        <x:v>2F</x:v>
      </x:c>
      <x:c r="P33" s="56" t="str">
        <x:v>2F</x:v>
      </x:c>
      <x:c r="Q33" s="56" t="str">
        <x:v>2F</x:v>
      </x:c>
      <x:c r="R33" s="56" t="str">
        <x:v>2F</x:v>
      </x:c>
      <x:c r="S33" s="56" t="str">
        <x:v>2F</x:v>
      </x:c>
      <x:c r="T33" s="56" t="str">
        <x:v>2F</x:v>
      </x:c>
      <x:c r="U33" s="56" t="str">
        <x:v>2F</x:v>
      </x:c>
      <x:c r="V33" s="56" t="str">
        <x:v>2F</x:v>
      </x:c>
      <x:c r="W33" s="56" t="str">
        <x:f>IF(INDEX('週間仮シフト'!E$7:E$78,MATCH(A33,'週間仮シフト'!$A$7:$A$78,0))="夜","一致","不一致")</x:f>
        <x:v>一致</x:v>
      </x:c>
    </x:row>
    <x:row r="34" ht="26" customHeight="1">
      <x:c r="A34" s="56" t="str">
        <x:v>3F-05</x:v>
      </x:c>
      <x:c r="B34" s="56" t="str">
        <x:v>3F</x:v>
      </x:c>
      <x:c r="C34" s="56" t="str">
        <x:v>3F</x:v>
      </x:c>
      <x:c r="D34" s="56" t="str">
        <x:v>3F</x:v>
      </x:c>
      <x:c r="E34" s="56" t="str">
        <x:v>3F</x:v>
      </x:c>
      <x:c r="F34" s="56" t="str">
        <x:v>3F</x:v>
      </x:c>
      <x:c r="G34" s="56" t="str">
        <x:v>3F</x:v>
      </x:c>
      <x:c r="H34" s="56" t="str">
        <x:v>3F</x:v>
      </x:c>
      <x:c r="I34" s="56" t="str">
        <x:v>3F</x:v>
      </x:c>
      <x:c r="J34" s="56" t="str">
        <x:v>3F</x:v>
      </x:c>
      <x:c r="K34" s="56" t="str">
        <x:v>仮眠</x:v>
      </x:c>
      <x:c r="L34" s="56" t="str">
        <x:v>仮眠</x:v>
      </x:c>
      <x:c r="M34" s="56" t="str">
        <x:v>仮眠</x:v>
      </x:c>
      <x:c r="N34" s="56" t="str">
        <x:v>仮眠</x:v>
      </x:c>
      <x:c r="O34" s="56" t="str">
        <x:v>3F</x:v>
      </x:c>
      <x:c r="P34" s="56" t="str">
        <x:v>3F</x:v>
      </x:c>
      <x:c r="Q34" s="56" t="str">
        <x:v>3F</x:v>
      </x:c>
      <x:c r="R34" s="56" t="str">
        <x:v>3F</x:v>
      </x:c>
      <x:c r="S34" s="56" t="str">
        <x:v>3F</x:v>
      </x:c>
      <x:c r="T34" s="56" t="str">
        <x:v>3F</x:v>
      </x:c>
      <x:c r="U34" s="56" t="str">
        <x:v>3F</x:v>
      </x:c>
      <x:c r="V34" s="56" t="str">
        <x:v>3F</x:v>
      </x:c>
      <x:c r="W34" s="56" t="str">
        <x:f>IF(INDEX('週間仮シフト'!E$7:E$78,MATCH(A34,'週間仮シフト'!$A$7:$A$78,0))="夜","一致","不一致")</x:f>
        <x:v>一致</x:v>
      </x:c>
    </x:row>
    <x:row r="35" ht="26" customHeight="1">
      <x:c r="A35" s="56" t="str">
        <x:v>3F-06</x:v>
      </x:c>
      <x:c r="B35" s="56" t="str">
        <x:v>3F</x:v>
      </x:c>
      <x:c r="C35" s="56" t="str">
        <x:v>3F</x:v>
      </x:c>
      <x:c r="D35" s="56" t="str">
        <x:v>3F</x:v>
      </x:c>
      <x:c r="E35" s="56" t="str">
        <x:v>3F</x:v>
      </x:c>
      <x:c r="F35" s="56" t="str">
        <x:v>3F</x:v>
      </x:c>
      <x:c r="G35" s="56" t="str">
        <x:v>3F</x:v>
      </x:c>
      <x:c r="H35" s="56" t="str">
        <x:v>3F</x:v>
      </x:c>
      <x:c r="I35" s="56" t="str">
        <x:v>3F</x:v>
      </x:c>
      <x:c r="J35" s="56" t="str">
        <x:v>3F</x:v>
      </x:c>
      <x:c r="K35" s="56" t="str">
        <x:v>3F</x:v>
      </x:c>
      <x:c r="L35" s="56" t="str">
        <x:v>3F</x:v>
      </x:c>
      <x:c r="M35" s="56" t="str">
        <x:v>仮眠</x:v>
      </x:c>
      <x:c r="N35" s="56" t="str">
        <x:v>仮眠</x:v>
      </x:c>
      <x:c r="O35" s="56" t="str">
        <x:v>仮眠</x:v>
      </x:c>
      <x:c r="P35" s="56" t="str">
        <x:v>仮眠</x:v>
      </x:c>
      <x:c r="Q35" s="56" t="str">
        <x:v>3F</x:v>
      </x:c>
      <x:c r="R35" s="56" t="str">
        <x:v>3F</x:v>
      </x:c>
      <x:c r="S35" s="56" t="str">
        <x:v>3F</x:v>
      </x:c>
      <x:c r="T35" s="56" t="str">
        <x:v>3F</x:v>
      </x:c>
      <x:c r="U35" s="56" t="str">
        <x:v>3F</x:v>
      </x:c>
      <x:c r="V35" s="56" t="str">
        <x:v>3F</x:v>
      </x:c>
      <x:c r="W35" s="56" t="str">
        <x:f>IF(INDEX('週間仮シフト'!E$7:E$78,MATCH(A35,'週間仮シフト'!$A$7:$A$78,0))="夜","一致","不一致")</x:f>
        <x:v>一致</x:v>
      </x:c>
    </x:row>
    <x:row r="36" ht="26" customHeight="1">
      <x:c r="A36" s="56" t="str">
        <x:v>1F-01</x:v>
      </x:c>
      <x:c r="B36" s="56" t="str">
        <x:v>統括</x:v>
      </x:c>
      <x:c r="C36" s="56" t="str">
        <x:v>1F</x:v>
      </x:c>
      <x:c r="D36" s="56" t="str">
        <x:v>1F</x:v>
      </x:c>
      <x:c r="E36" s="56" t="str">
        <x:v>1F</x:v>
      </x:c>
      <x:c r="F36" s="56" t="str">
        <x:v>1F</x:v>
      </x:c>
      <x:c r="G36" s="56" t="str">
        <x:v>2F</x:v>
      </x:c>
      <x:c r="H36" s="56" t="str">
        <x:v>2F</x:v>
      </x:c>
      <x:c r="I36" s="56" t="str">
        <x:v>2F</x:v>
      </x:c>
      <x:c r="J36" s="56" t="str">
        <x:v>2F</x:v>
      </x:c>
      <x:c r="K36" s="56" t="str">
        <x:v>3F</x:v>
      </x:c>
      <x:c r="L36" s="56" t="str">
        <x:v>3F</x:v>
      </x:c>
      <x:c r="M36" s="56" t="str">
        <x:v>3F</x:v>
      </x:c>
      <x:c r="N36" s="56" t="str">
        <x:v>3F</x:v>
      </x:c>
      <x:c r="O36" s="56" t="str">
        <x:v>仮眠</x:v>
      </x:c>
      <x:c r="P36" s="56" t="str">
        <x:v>仮眠</x:v>
      </x:c>
      <x:c r="Q36" s="56" t="str">
        <x:v>仮眠</x:v>
      </x:c>
      <x:c r="R36" s="56" t="str">
        <x:v>仮眠</x:v>
      </x:c>
      <x:c r="S36" s="56" t="str">
        <x:v>統括</x:v>
      </x:c>
      <x:c r="T36" s="56" t="str">
        <x:v>統括</x:v>
      </x:c>
      <x:c r="U36" s="56" t="str">
        <x:v>統括</x:v>
      </x:c>
      <x:c r="V36" s="56" t="str">
        <x:v>統括</x:v>
      </x:c>
      <x:c r="W36" s="56" t="str">
        <x:f>IF(INDEX('週間仮シフト'!E$7:E$78,MATCH(A36,'週間仮シフト'!$A$7:$A$78,0))="統","一致","不一致")</x:f>
        <x:v>一致</x:v>
      </x:c>
    </x:row>
    <x:row r="37" ht="26" customHeight="1">
      <x:c r="A37" s="56" t="str">
        <x:v>1F-02</x:v>
      </x:c>
      <x:c r="B37" s="56" t="str">
        <x:v>統括</x:v>
      </x:c>
      <x:c r="C37" s="56" t="str">
        <x:v>統括</x:v>
      </x:c>
      <x:c r="D37" s="56" t="str">
        <x:v>統括</x:v>
      </x:c>
      <x:c r="E37" s="56" t="str">
        <x:v>統括</x:v>
      </x:c>
      <x:c r="F37" s="56" t="str">
        <x:v>統括</x:v>
      </x:c>
      <x:c r="G37" s="56" t="str">
        <x:v>統括</x:v>
      </x:c>
      <x:c r="H37" s="56" t="str">
        <x:v>統括</x:v>
      </x:c>
      <x:c r="I37" s="56" t="str">
        <x:v>統括</x:v>
      </x:c>
      <x:c r="J37" s="56" t="str">
        <x:v>統括</x:v>
      </x:c>
      <x:c r="K37" s="56" t="str">
        <x:v>統括</x:v>
      </x:c>
      <x:c r="L37" s="56" t="str">
        <x:v>統括</x:v>
      </x:c>
      <x:c r="M37" s="56" t="str">
        <x:v>統括</x:v>
      </x:c>
      <x:c r="N37" s="56" t="str">
        <x:v>統括</x:v>
      </x:c>
      <x:c r="O37" s="56" t="str">
        <x:v>統括</x:v>
      </x:c>
      <x:c r="P37" s="56" t="str">
        <x:v>統括</x:v>
      </x:c>
      <x:c r="Q37" s="56" t="str">
        <x:v>統括</x:v>
      </x:c>
      <x:c r="R37" s="56" t="str">
        <x:v>統括</x:v>
      </x:c>
      <x:c r="S37" s="56" t="str">
        <x:v>仮眠</x:v>
      </x:c>
      <x:c r="T37" s="56" t="str">
        <x:v>仮眠</x:v>
      </x:c>
      <x:c r="U37" s="56" t="str">
        <x:v>仮眠</x:v>
      </x:c>
      <x:c r="V37" s="56" t="str">
        <x:v>仮眠</x:v>
      </x:c>
      <x:c r="W37" s="56" t="str">
        <x:f>IF(INDEX('週間仮シフト'!E$7:E$78,MATCH(A37,'週間仮シフト'!$A$7:$A$78,0))="統","一致","不一致")</x:f>
        <x:v>一致</x:v>
      </x:c>
    </x:row>
    <x:row r="38" ht="26" customHeight="1">
      <x:c r="A38" s="56" t="str">
        <x:v>3F-23</x:v>
      </x:c>
      <x:c r="B38" s="56" t="str">
        <x:v>短時間</x:v>
      </x:c>
      <x:c r="C38" s="56" t="str">
        <x:v>非勤務</x:v>
      </x:c>
      <x:c r="D38" s="56" t="str">
        <x:v>非勤務</x:v>
      </x:c>
      <x:c r="E38" s="56" t="str">
        <x:v>1F</x:v>
      </x:c>
      <x:c r="F38" s="56" t="str">
        <x:v>1F</x:v>
      </x:c>
      <x:c r="G38" s="56" t="str">
        <x:v>1F</x:v>
      </x:c>
      <x:c r="H38" s="56" t="str">
        <x:v>1F</x:v>
      </x:c>
      <x:c r="I38" s="56" t="str">
        <x:v>2F</x:v>
      </x:c>
      <x:c r="J38" s="56" t="str">
        <x:v>2F</x:v>
      </x:c>
      <x:c r="K38" s="56" t="str">
        <x:v>非勤務</x:v>
      </x:c>
      <x:c r="L38" s="56" t="str">
        <x:v>非勤務</x:v>
      </x:c>
      <x:c r="M38" s="56" t="str">
        <x:v>非勤務</x:v>
      </x:c>
      <x:c r="N38" s="56" t="str">
        <x:v>非勤務</x:v>
      </x:c>
      <x:c r="O38" s="56" t="str">
        <x:v>非勤務</x:v>
      </x:c>
      <x:c r="P38" s="56" t="str">
        <x:v>非勤務</x:v>
      </x:c>
      <x:c r="Q38" s="56" t="str">
        <x:v>非勤務</x:v>
      </x:c>
      <x:c r="R38" s="56" t="str">
        <x:v>非勤務</x:v>
      </x:c>
      <x:c r="S38" s="56" t="str">
        <x:v>非勤務</x:v>
      </x:c>
      <x:c r="T38" s="56" t="str">
        <x:v>非勤務</x:v>
      </x:c>
      <x:c r="U38" s="56" t="str">
        <x:v>非勤務</x:v>
      </x:c>
      <x:c r="V38" s="56" t="str">
        <x:v>非勤務</x:v>
      </x:c>
      <x:c r="W38" s="56" t="str">
        <x:f>IF(INDEX('週間仮シフト'!E$7:E$78,MATCH(A38,'週間仮シフト'!$A$7:$A$78,0))="短A","一致","不一致")</x:f>
        <x:v>一致</x:v>
      </x:c>
    </x:row>
    <x:row r="39" ht="26" customHeight="1">
      <x:c r="A39" s="56" t="str">
        <x:v>2F-24</x:v>
      </x:c>
      <x:c r="B39" s="56" t="str">
        <x:v>短時間</x:v>
      </x:c>
      <x:c r="C39" s="56" t="str">
        <x:v>非勤務</x:v>
      </x:c>
      <x:c r="D39" s="56" t="str">
        <x:v>非勤務</x:v>
      </x:c>
      <x:c r="E39" s="56" t="str">
        <x:v>非勤務</x:v>
      </x:c>
      <x:c r="F39" s="56" t="str">
        <x:v>非勤務</x:v>
      </x:c>
      <x:c r="G39" s="56" t="str">
        <x:v>非勤務</x:v>
      </x:c>
      <x:c r="H39" s="56" t="str">
        <x:v>非勤務</x:v>
      </x:c>
      <x:c r="I39" s="56" t="str">
        <x:v>非勤務</x:v>
      </x:c>
      <x:c r="J39" s="56" t="str">
        <x:v>非勤務</x:v>
      </x:c>
      <x:c r="K39" s="56" t="str">
        <x:v>2F</x:v>
      </x:c>
      <x:c r="L39" s="56" t="str">
        <x:v>2F</x:v>
      </x:c>
      <x:c r="M39" s="56" t="str">
        <x:v>3F</x:v>
      </x:c>
      <x:c r="N39" s="56" t="str">
        <x:v>3F</x:v>
      </x:c>
      <x:c r="O39" s="56" t="str">
        <x:v>3F</x:v>
      </x:c>
      <x:c r="P39" s="56" t="str">
        <x:v>3F</x:v>
      </x:c>
      <x:c r="Q39" s="56" t="str">
        <x:v>非勤務</x:v>
      </x:c>
      <x:c r="R39" s="56" t="str">
        <x:v>非勤務</x:v>
      </x:c>
      <x:c r="S39" s="56" t="str">
        <x:v>非勤務</x:v>
      </x:c>
      <x:c r="T39" s="56" t="str">
        <x:v>非勤務</x:v>
      </x:c>
      <x:c r="U39" s="56" t="str">
        <x:v>非勤務</x:v>
      </x:c>
      <x:c r="V39" s="56" t="str">
        <x:v>非勤務</x:v>
      </x:c>
      <x:c r="W39" s="56" t="str">
        <x:f>IF(INDEX('週間仮シフト'!F$7:F$78,MATCH(A39,'週間仮シフト'!$A$7:$A$78,0))="短B","一致","不一致")</x:f>
        <x:v>一致</x:v>
      </x:c>
    </x:row>
    <x:row r="40" ht="26" customHeight="1">
      <x:c r="A40" s="56"/>
      <x:c r="B40" s="56"/>
      <x:c r="C40" s="56"/>
      <x:c r="D40" s="56"/>
      <x:c r="E40" s="56"/>
      <x:c r="F40" s="56"/>
      <x:c r="G40" s="56"/>
      <x:c r="H40" s="56"/>
      <x:c r="I40" s="56"/>
      <x:c r="J40" s="56"/>
      <x:c r="K40" s="56"/>
      <x:c r="L40" s="56"/>
      <x:c r="M40" s="56"/>
      <x:c r="N40" s="56"/>
      <x:c r="O40" s="56"/>
      <x:c r="P40" s="56"/>
      <x:c r="Q40" s="56"/>
      <x:c r="R40" s="56"/>
      <x:c r="S40" s="56"/>
      <x:c r="T40" s="56"/>
      <x:c r="U40" s="56"/>
      <x:c r="V40" s="56"/>
      <x:c r="W40" s="56"/>
    </x:row>
    <x:row r="41" ht="26" customHeight="1">
      <x:c r="A41" s="56" t="str">
        <x:v>1F対応中</x:v>
      </x:c>
      <x:c r="B41" s="56" t="n">
        <x:f>'施設設定'!H17</x:f>
        <x:v>2</x:v>
      </x:c>
      <x:c r="C41" s="56" t="n">
        <x:f>COUNTIFS(C30:C39,"1F",$W30:$W39,"一致")</x:f>
        <x:v>2</x:v>
      </x:c>
      <x:c r="D41" s="56" t="n">
        <x:f>COUNTIFS(D30:D39,"1F",$W30:$W39,"一致")</x:f>
        <x:v>2</x:v>
      </x:c>
      <x:c r="E41" s="56" t="n">
        <x:f>COUNTIFS(E30:E39,"1F",$W30:$W39,"一致")</x:f>
        <x:v>2</x:v>
      </x:c>
      <x:c r="F41" s="56" t="n">
        <x:f>COUNTIFS(F30:F39,"1F",$W30:$W39,"一致")</x:f>
        <x:v>2</x:v>
      </x:c>
      <x:c r="G41" s="56" t="n">
        <x:f>COUNTIFS(G30:G39,"1F",$W30:$W39,"一致")</x:f>
        <x:v>2</x:v>
      </x:c>
      <x:c r="H41" s="56" t="n">
        <x:f>COUNTIFS(H30:H39,"1F",$W30:$W39,"一致")</x:f>
        <x:v>2</x:v>
      </x:c>
      <x:c r="I41" s="56" t="n">
        <x:f>COUNTIFS(I30:I39,"1F",$W30:$W39,"一致")</x:f>
        <x:v>2</x:v>
      </x:c>
      <x:c r="J41" s="56" t="n">
        <x:f>COUNTIFS(J30:J39,"1F",$W30:$W39,"一致")</x:f>
        <x:v>2</x:v>
      </x:c>
      <x:c r="K41" s="56" t="n">
        <x:f>COUNTIFS(K30:K39,"1F",$W30:$W39,"一致")</x:f>
        <x:v>2</x:v>
      </x:c>
      <x:c r="L41" s="56" t="n">
        <x:f>COUNTIFS(L30:L39,"1F",$W30:$W39,"一致")</x:f>
        <x:v>2</x:v>
      </x:c>
      <x:c r="M41" s="56" t="n">
        <x:f>COUNTIFS(M30:M39,"1F",$W30:$W39,"一致")</x:f>
        <x:v>2</x:v>
      </x:c>
      <x:c r="N41" s="56" t="n">
        <x:f>COUNTIFS(N30:N39,"1F",$W30:$W39,"一致")</x:f>
        <x:v>2</x:v>
      </x:c>
      <x:c r="O41" s="56" t="n">
        <x:f>COUNTIFS(O30:O39,"1F",$W30:$W39,"一致")</x:f>
        <x:v>2</x:v>
      </x:c>
      <x:c r="P41" s="56" t="n">
        <x:f>COUNTIFS(P30:P39,"1F",$W30:$W39,"一致")</x:f>
        <x:v>2</x:v>
      </x:c>
      <x:c r="Q41" s="56" t="n">
        <x:f>COUNTIFS(Q30:Q39,"1F",$W30:$W39,"一致")</x:f>
        <x:v>2</x:v>
      </x:c>
      <x:c r="R41" s="56" t="n">
        <x:f>COUNTIFS(R30:R39,"1F",$W30:$W39,"一致")</x:f>
        <x:v>2</x:v>
      </x:c>
      <x:c r="S41" s="56" t="n">
        <x:f>COUNTIFS(S30:S39,"1F",$W30:$W39,"一致")</x:f>
        <x:v>2</x:v>
      </x:c>
      <x:c r="T41" s="56" t="n">
        <x:f>COUNTIFS(T30:T39,"1F",$W30:$W39,"一致")</x:f>
        <x:v>2</x:v>
      </x:c>
      <x:c r="U41" s="56" t="n">
        <x:f>COUNTIFS(U30:U39,"1F",$W30:$W39,"一致")</x:f>
        <x:v>2</x:v>
      </x:c>
      <x:c r="V41" s="56" t="n">
        <x:f>COUNTIFS(V30:V39,"1F",$W30:$W39,"一致")</x:f>
        <x:v>2</x:v>
      </x:c>
      <x:c r="W41" s="56"/>
    </x:row>
    <x:row r="42" ht="26" customHeight="1">
      <x:c r="A42" s="56" t="str">
        <x:v>2F対応中</x:v>
      </x:c>
      <x:c r="B42" s="56" t="n">
        <x:f>'施設設定'!H18</x:f>
        <x:v>2</x:v>
      </x:c>
      <x:c r="C42" s="56" t="n">
        <x:f>COUNTIFS(C30:C39,"2F",$W30:$W39,"一致")</x:f>
        <x:v>2</x:v>
      </x:c>
      <x:c r="D42" s="56" t="n">
        <x:f>COUNTIFS(D30:D39,"2F",$W30:$W39,"一致")</x:f>
        <x:v>2</x:v>
      </x:c>
      <x:c r="E42" s="56" t="n">
        <x:f>COUNTIFS(E30:E39,"2F",$W30:$W39,"一致")</x:f>
        <x:v>2</x:v>
      </x:c>
      <x:c r="F42" s="56" t="n">
        <x:f>COUNTIFS(F30:F39,"2F",$W30:$W39,"一致")</x:f>
        <x:v>2</x:v>
      </x:c>
      <x:c r="G42" s="56" t="n">
        <x:f>COUNTIFS(G30:G39,"2F",$W30:$W39,"一致")</x:f>
        <x:v>2</x:v>
      </x:c>
      <x:c r="H42" s="56" t="n">
        <x:f>COUNTIFS(H30:H39,"2F",$W30:$W39,"一致")</x:f>
        <x:v>2</x:v>
      </x:c>
      <x:c r="I42" s="56" t="n">
        <x:f>COUNTIFS(I30:I39,"2F",$W30:$W39,"一致")</x:f>
        <x:v>2</x:v>
      </x:c>
      <x:c r="J42" s="56" t="n">
        <x:f>COUNTIFS(J30:J39,"2F",$W30:$W39,"一致")</x:f>
        <x:v>2</x:v>
      </x:c>
      <x:c r="K42" s="56" t="n">
        <x:f>COUNTIFS(K30:K39,"2F",$W30:$W39,"一致")</x:f>
        <x:v>2</x:v>
      </x:c>
      <x:c r="L42" s="56" t="n">
        <x:f>COUNTIFS(L30:L39,"2F",$W30:$W39,"一致")</x:f>
        <x:v>2</x:v>
      </x:c>
      <x:c r="M42" s="56" t="n">
        <x:f>COUNTIFS(M30:M39,"2F",$W30:$W39,"一致")</x:f>
        <x:v>2</x:v>
      </x:c>
      <x:c r="N42" s="56" t="n">
        <x:f>COUNTIFS(N30:N39,"2F",$W30:$W39,"一致")</x:f>
        <x:v>2</x:v>
      </x:c>
      <x:c r="O42" s="56" t="n">
        <x:f>COUNTIFS(O30:O39,"2F",$W30:$W39,"一致")</x:f>
        <x:v>2</x:v>
      </x:c>
      <x:c r="P42" s="56" t="n">
        <x:f>COUNTIFS(P30:P39,"2F",$W30:$W39,"一致")</x:f>
        <x:v>2</x:v>
      </x:c>
      <x:c r="Q42" s="56" t="n">
        <x:f>COUNTIFS(Q30:Q39,"2F",$W30:$W39,"一致")</x:f>
        <x:v>2</x:v>
      </x:c>
      <x:c r="R42" s="56" t="n">
        <x:f>COUNTIFS(R30:R39,"2F",$W30:$W39,"一致")</x:f>
        <x:v>2</x:v>
      </x:c>
      <x:c r="S42" s="56" t="n">
        <x:f>COUNTIFS(S30:S39,"2F",$W30:$W39,"一致")</x:f>
        <x:v>2</x:v>
      </x:c>
      <x:c r="T42" s="56" t="n">
        <x:f>COUNTIFS(T30:T39,"2F",$W30:$W39,"一致")</x:f>
        <x:v>2</x:v>
      </x:c>
      <x:c r="U42" s="56" t="n">
        <x:f>COUNTIFS(U30:U39,"2F",$W30:$W39,"一致")</x:f>
        <x:v>2</x:v>
      </x:c>
      <x:c r="V42" s="56" t="n">
        <x:f>COUNTIFS(V30:V39,"2F",$W30:$W39,"一致")</x:f>
        <x:v>2</x:v>
      </x:c>
      <x:c r="W42" s="56"/>
    </x:row>
    <x:row r="43" ht="26" customHeight="1">
      <x:c r="A43" s="56" t="str">
        <x:v>3F対応中</x:v>
      </x:c>
      <x:c r="B43" s="56" t="n">
        <x:f>'施設設定'!H19</x:f>
        <x:v>2</x:v>
      </x:c>
      <x:c r="C43" s="56" t="n">
        <x:f>COUNTIFS(C30:C39,"3F",$W30:$W39,"一致")</x:f>
        <x:v>2</x:v>
      </x:c>
      <x:c r="D43" s="56" t="n">
        <x:f>COUNTIFS(D30:D39,"3F",$W30:$W39,"一致")</x:f>
        <x:v>2</x:v>
      </x:c>
      <x:c r="E43" s="56" t="n">
        <x:f>COUNTIFS(E30:E39,"3F",$W30:$W39,"一致")</x:f>
        <x:v>2</x:v>
      </x:c>
      <x:c r="F43" s="56" t="n">
        <x:f>COUNTIFS(F30:F39,"3F",$W30:$W39,"一致")</x:f>
        <x:v>2</x:v>
      </x:c>
      <x:c r="G43" s="56" t="n">
        <x:f>COUNTIFS(G30:G39,"3F",$W30:$W39,"一致")</x:f>
        <x:v>2</x:v>
      </x:c>
      <x:c r="H43" s="56" t="n">
        <x:f>COUNTIFS(H30:H39,"3F",$W30:$W39,"一致")</x:f>
        <x:v>2</x:v>
      </x:c>
      <x:c r="I43" s="56" t="n">
        <x:f>COUNTIFS(I30:I39,"3F",$W30:$W39,"一致")</x:f>
        <x:v>2</x:v>
      </x:c>
      <x:c r="J43" s="56" t="n">
        <x:f>COUNTIFS(J30:J39,"3F",$W30:$W39,"一致")</x:f>
        <x:v>2</x:v>
      </x:c>
      <x:c r="K43" s="56" t="n">
        <x:f>COUNTIFS(K30:K39,"3F",$W30:$W39,"一致")</x:f>
        <x:v>2</x:v>
      </x:c>
      <x:c r="L43" s="56" t="n">
        <x:f>COUNTIFS(L30:L39,"3F",$W30:$W39,"一致")</x:f>
        <x:v>2</x:v>
      </x:c>
      <x:c r="M43" s="56" t="n">
        <x:f>COUNTIFS(M30:M39,"3F",$W30:$W39,"一致")</x:f>
        <x:v>2</x:v>
      </x:c>
      <x:c r="N43" s="56" t="n">
        <x:f>COUNTIFS(N30:N39,"3F",$W30:$W39,"一致")</x:f>
        <x:v>2</x:v>
      </x:c>
      <x:c r="O43" s="56" t="n">
        <x:f>COUNTIFS(O30:O39,"3F",$W30:$W39,"一致")</x:f>
        <x:v>2</x:v>
      </x:c>
      <x:c r="P43" s="56" t="n">
        <x:f>COUNTIFS(P30:P39,"3F",$W30:$W39,"一致")</x:f>
        <x:v>2</x:v>
      </x:c>
      <x:c r="Q43" s="56" t="n">
        <x:f>COUNTIFS(Q30:Q39,"3F",$W30:$W39,"一致")</x:f>
        <x:v>2</x:v>
      </x:c>
      <x:c r="R43" s="56" t="n">
        <x:f>COUNTIFS(R30:R39,"3F",$W30:$W39,"一致")</x:f>
        <x:v>2</x:v>
      </x:c>
      <x:c r="S43" s="56" t="n">
        <x:f>COUNTIFS(S30:S39,"3F",$W30:$W39,"一致")</x:f>
        <x:v>2</x:v>
      </x:c>
      <x:c r="T43" s="56" t="n">
        <x:f>COUNTIFS(T30:T39,"3F",$W30:$W39,"一致")</x:f>
        <x:v>2</x:v>
      </x:c>
      <x:c r="U43" s="56" t="n">
        <x:f>COUNTIFS(U30:U39,"3F",$W30:$W39,"一致")</x:f>
        <x:v>2</x:v>
      </x:c>
      <x:c r="V43" s="56" t="n">
        <x:f>COUNTIFS(V30:V39,"3F",$W30:$W39,"一致")</x:f>
        <x:v>2</x:v>
      </x:c>
      <x:c r="W43" s="56"/>
    </x:row>
    <x:row r="44" ht="26" customHeight="1">
      <x:c r="A44" s="56" t="str">
        <x:v>自由な統括</x:v>
      </x:c>
      <x:c r="B44" s="56" t="n">
        <x:f>'施設設定'!B12</x:f>
        <x:v>1</x:v>
      </x:c>
      <x:c r="C44" s="56" t="n">
        <x:f>COUNTIFS(C30:C39,"統括",$W30:$W39,"一致")</x:f>
        <x:v>1</x:v>
      </x:c>
      <x:c r="D44" s="56" t="n">
        <x:f>COUNTIFS(D30:D39,"統括",$W30:$W39,"一致")</x:f>
        <x:v>1</x:v>
      </x:c>
      <x:c r="E44" s="56" t="n">
        <x:f>COUNTIFS(E30:E39,"統括",$W30:$W39,"一致")</x:f>
        <x:v>1</x:v>
      </x:c>
      <x:c r="F44" s="56" t="n">
        <x:f>COUNTIFS(F30:F39,"統括",$W30:$W39,"一致")</x:f>
        <x:v>1</x:v>
      </x:c>
      <x:c r="G44" s="56" t="n">
        <x:f>COUNTIFS(G30:G39,"統括",$W30:$W39,"一致")</x:f>
        <x:v>1</x:v>
      </x:c>
      <x:c r="H44" s="56" t="n">
        <x:f>COUNTIFS(H30:H39,"統括",$W30:$W39,"一致")</x:f>
        <x:v>1</x:v>
      </x:c>
      <x:c r="I44" s="56" t="n">
        <x:f>COUNTIFS(I30:I39,"統括",$W30:$W39,"一致")</x:f>
        <x:v>1</x:v>
      </x:c>
      <x:c r="J44" s="56" t="n">
        <x:f>COUNTIFS(J30:J39,"統括",$W30:$W39,"一致")</x:f>
        <x:v>1</x:v>
      </x:c>
      <x:c r="K44" s="56" t="n">
        <x:f>COUNTIFS(K30:K39,"統括",$W30:$W39,"一致")</x:f>
        <x:v>1</x:v>
      </x:c>
      <x:c r="L44" s="56" t="n">
        <x:f>COUNTIFS(L30:L39,"統括",$W30:$W39,"一致")</x:f>
        <x:v>1</x:v>
      </x:c>
      <x:c r="M44" s="56" t="n">
        <x:f>COUNTIFS(M30:M39,"統括",$W30:$W39,"一致")</x:f>
        <x:v>1</x:v>
      </x:c>
      <x:c r="N44" s="56" t="n">
        <x:f>COUNTIFS(N30:N39,"統括",$W30:$W39,"一致")</x:f>
        <x:v>1</x:v>
      </x:c>
      <x:c r="O44" s="56" t="n">
        <x:f>COUNTIFS(O30:O39,"統括",$W30:$W39,"一致")</x:f>
        <x:v>1</x:v>
      </x:c>
      <x:c r="P44" s="56" t="n">
        <x:f>COUNTIFS(P30:P39,"統括",$W30:$W39,"一致")</x:f>
        <x:v>1</x:v>
      </x:c>
      <x:c r="Q44" s="56" t="n">
        <x:f>COUNTIFS(Q30:Q39,"統括",$W30:$W39,"一致")</x:f>
        <x:v>1</x:v>
      </x:c>
      <x:c r="R44" s="56" t="n">
        <x:f>COUNTIFS(R30:R39,"統括",$W30:$W39,"一致")</x:f>
        <x:v>1</x:v>
      </x:c>
      <x:c r="S44" s="56" t="n">
        <x:f>COUNTIFS(S30:S39,"統括",$W30:$W39,"一致")</x:f>
        <x:v>1</x:v>
      </x:c>
      <x:c r="T44" s="56" t="n">
        <x:f>COUNTIFS(T30:T39,"統括",$W30:$W39,"一致")</x:f>
        <x:v>1</x:v>
      </x:c>
      <x:c r="U44" s="56" t="n">
        <x:f>COUNTIFS(U30:U39,"統括",$W30:$W39,"一致")</x:f>
        <x:v>1</x:v>
      </x:c>
      <x:c r="V44" s="56" t="n">
        <x:f>COUNTIFS(V30:V39,"統括",$W30:$W39,"一致")</x:f>
        <x:v>1</x:v>
      </x:c>
      <x:c r="W44" s="56"/>
    </x:row>
    <x:row r="45" ht="26" customHeight="1">
      <x:c r="A45" s="56" t="str">
        <x:v>配置判定</x:v>
      </x:c>
      <x:c r="B45" s="56"/>
      <x:c r="C45" s="56" t="str">
        <x:f>IF(AND(C41&gt;=$B41,C42&gt;=$B42,C43&gt;=$B43,C44&gt;=$B44),"充足","不足")</x:f>
        <x:v>充足</x:v>
      </x:c>
      <x:c r="D45" s="56" t="str">
        <x:f>IF(AND(D41&gt;=$B41,D42&gt;=$B42,D43&gt;=$B43,D44&gt;=$B44),"充足","不足")</x:f>
        <x:v>充足</x:v>
      </x:c>
      <x:c r="E45" s="56" t="str">
        <x:f>IF(AND(E41&gt;=$B41,E42&gt;=$B42,E43&gt;=$B43,E44&gt;=$B44),"充足","不足")</x:f>
        <x:v>充足</x:v>
      </x:c>
      <x:c r="F45" s="56" t="str">
        <x:f>IF(AND(F41&gt;=$B41,F42&gt;=$B42,F43&gt;=$B43,F44&gt;=$B44),"充足","不足")</x:f>
        <x:v>充足</x:v>
      </x:c>
      <x:c r="G45" s="56" t="str">
        <x:f>IF(AND(G41&gt;=$B41,G42&gt;=$B42,G43&gt;=$B43,G44&gt;=$B44),"充足","不足")</x:f>
        <x:v>充足</x:v>
      </x:c>
      <x:c r="H45" s="56" t="str">
        <x:f>IF(AND(H41&gt;=$B41,H42&gt;=$B42,H43&gt;=$B43,H44&gt;=$B44),"充足","不足")</x:f>
        <x:v>充足</x:v>
      </x:c>
      <x:c r="I45" s="56" t="str">
        <x:f>IF(AND(I41&gt;=$B41,I42&gt;=$B42,I43&gt;=$B43,I44&gt;=$B44),"充足","不足")</x:f>
        <x:v>充足</x:v>
      </x:c>
      <x:c r="J45" s="56" t="str">
        <x:f>IF(AND(J41&gt;=$B41,J42&gt;=$B42,J43&gt;=$B43,J44&gt;=$B44),"充足","不足")</x:f>
        <x:v>充足</x:v>
      </x:c>
      <x:c r="K45" s="56" t="str">
        <x:f>IF(AND(K41&gt;=$B41,K42&gt;=$B42,K43&gt;=$B43,K44&gt;=$B44),"充足","不足")</x:f>
        <x:v>充足</x:v>
      </x:c>
      <x:c r="L45" s="56" t="str">
        <x:f>IF(AND(L41&gt;=$B41,L42&gt;=$B42,L43&gt;=$B43,L44&gt;=$B44),"充足","不足")</x:f>
        <x:v>充足</x:v>
      </x:c>
      <x:c r="M45" s="56" t="str">
        <x:f>IF(AND(M41&gt;=$B41,M42&gt;=$B42,M43&gt;=$B43,M44&gt;=$B44),"充足","不足")</x:f>
        <x:v>充足</x:v>
      </x:c>
      <x:c r="N45" s="56" t="str">
        <x:f>IF(AND(N41&gt;=$B41,N42&gt;=$B42,N43&gt;=$B43,N44&gt;=$B44),"充足","不足")</x:f>
        <x:v>充足</x:v>
      </x:c>
      <x:c r="O45" s="56" t="str">
        <x:f>IF(AND(O41&gt;=$B41,O42&gt;=$B42,O43&gt;=$B43,O44&gt;=$B44),"充足","不足")</x:f>
        <x:v>充足</x:v>
      </x:c>
      <x:c r="P45" s="56" t="str">
        <x:f>IF(AND(P41&gt;=$B41,P42&gt;=$B42,P43&gt;=$B43,P44&gt;=$B44),"充足","不足")</x:f>
        <x:v>充足</x:v>
      </x:c>
      <x:c r="Q45" s="56" t="str">
        <x:f>IF(AND(Q41&gt;=$B41,Q42&gt;=$B42,Q43&gt;=$B43,Q44&gt;=$B44),"充足","不足")</x:f>
        <x:v>充足</x:v>
      </x:c>
      <x:c r="R45" s="56" t="str">
        <x:f>IF(AND(R41&gt;=$B41,R42&gt;=$B42,R43&gt;=$B43,R44&gt;=$B44),"充足","不足")</x:f>
        <x:v>充足</x:v>
      </x:c>
      <x:c r="S45" s="56" t="str">
        <x:f>IF(AND(S41&gt;=$B41,S42&gt;=$B42,S43&gt;=$B43,S44&gt;=$B44),"充足","不足")</x:f>
        <x:v>充足</x:v>
      </x:c>
      <x:c r="T45" s="56" t="str">
        <x:f>IF(AND(T41&gt;=$B41,T42&gt;=$B42,T43&gt;=$B43,T44&gt;=$B44),"充足","不足")</x:f>
        <x:v>充足</x:v>
      </x:c>
      <x:c r="U45" s="56" t="str">
        <x:f>IF(AND(U41&gt;=$B41,U42&gt;=$B42,U43&gt;=$B43,U44&gt;=$B44),"充足","不足")</x:f>
        <x:v>充足</x:v>
      </x:c>
      <x:c r="V45" s="56" t="str">
        <x:f>IF(AND(V41&gt;=$B41,V42&gt;=$B42,V43&gt;=$B43,V44&gt;=$B44),"充足","不足")</x:f>
        <x:v>充足</x:v>
      </x:c>
      <x:c r="W45" s="56"/>
    </x:row>
    <x:row r="46" ht="26" customHeight="1">
      <x:c r="A46" s="56"/>
      <x:c r="B46" s="56"/>
      <x:c r="C46" s="56"/>
      <x:c r="D46" s="56"/>
      <x:c r="E46" s="56"/>
      <x:c r="F46" s="56"/>
      <x:c r="G46" s="56"/>
      <x:c r="H46" s="56"/>
      <x:c r="I46" s="56"/>
      <x:c r="J46" s="56"/>
      <x:c r="K46" s="56"/>
      <x:c r="L46" s="56"/>
      <x:c r="M46" s="56"/>
      <x:c r="N46" s="56"/>
      <x:c r="O46" s="56"/>
      <x:c r="P46" s="56"/>
      <x:c r="Q46" s="56"/>
      <x:c r="R46" s="56"/>
      <x:c r="S46" s="56"/>
      <x:c r="T46" s="56"/>
      <x:c r="U46" s="56"/>
      <x:c r="V46" s="56"/>
      <x:c r="W46" s="56"/>
    </x:row>
    <x:row r="47" ht="26" customHeight="1">
      <x:c r="A47" s="56"/>
      <x:c r="B47" s="56"/>
      <x:c r="C47" s="56"/>
      <x:c r="D47" s="56"/>
      <x:c r="E47" s="56"/>
      <x:c r="F47" s="56"/>
      <x:c r="G47" s="56"/>
      <x:c r="H47" s="56"/>
      <x:c r="I47" s="56"/>
      <x:c r="J47" s="56"/>
      <x:c r="K47" s="56"/>
      <x:c r="L47" s="56"/>
      <x:c r="M47" s="56"/>
      <x:c r="N47" s="56"/>
      <x:c r="O47" s="56"/>
      <x:c r="P47" s="56"/>
      <x:c r="Q47" s="56"/>
      <x:c r="R47" s="56"/>
      <x:c r="S47" s="56"/>
      <x:c r="T47" s="56"/>
      <x:c r="U47" s="56"/>
      <x:c r="V47" s="56"/>
      <x:c r="W47" s="56"/>
    </x:row>
    <x:row r="48" ht="26" customHeight="1">
      <x:c r="A48" s="56"/>
      <x:c r="B48" s="56"/>
      <x:c r="C48" s="56"/>
      <x:c r="D48" s="56"/>
      <x:c r="E48" s="56"/>
      <x:c r="F48" s="56"/>
      <x:c r="G48" s="56"/>
      <x:c r="H48" s="56"/>
      <x:c r="I48" s="56"/>
      <x:c r="J48" s="56"/>
      <x:c r="K48" s="56"/>
      <x:c r="L48" s="56"/>
      <x:c r="M48" s="56"/>
      <x:c r="N48" s="56"/>
      <x:c r="O48" s="56"/>
      <x:c r="P48" s="56"/>
      <x:c r="Q48" s="56"/>
      <x:c r="R48" s="56"/>
      <x:c r="S48" s="56"/>
      <x:c r="T48" s="56"/>
      <x:c r="U48" s="56"/>
      <x:c r="V48" s="56"/>
      <x:c r="W48" s="56"/>
    </x:row>
    <x:row r="49" ht="26" customHeight="1">
      <x:c r="A49" s="56"/>
      <x:c r="B49" s="56"/>
      <x:c r="C49" s="56"/>
      <x:c r="D49" s="56"/>
      <x:c r="E49" s="56"/>
      <x:c r="F49" s="56"/>
      <x:c r="G49" s="56"/>
      <x:c r="H49" s="56"/>
      <x:c r="I49" s="56"/>
      <x:c r="J49" s="56"/>
      <x:c r="K49" s="56"/>
      <x:c r="L49" s="56"/>
      <x:c r="M49" s="56"/>
      <x:c r="N49" s="56"/>
      <x:c r="O49" s="56"/>
      <x:c r="P49" s="56"/>
      <x:c r="Q49" s="56"/>
      <x:c r="R49" s="56"/>
      <x:c r="S49" s="56"/>
      <x:c r="T49" s="56"/>
      <x:c r="U49" s="56"/>
      <x:c r="V49" s="56"/>
      <x:c r="W49" s="56"/>
    </x:row>
    <x:row r="50" ht="26" customHeight="1">
      <x:c r="A50" s="56" t="str">
        <x:v>10/7（水）開始の夜勤</x:v>
      </x:c>
      <x:c r="B50" s="56"/>
      <x:c r="C50" s="56"/>
      <x:c r="D50" s="56"/>
      <x:c r="E50" s="56"/>
      <x:c r="F50" s="56"/>
      <x:c r="G50" s="56"/>
      <x:c r="H50" s="56"/>
      <x:c r="I50" s="56"/>
      <x:c r="J50" s="56"/>
      <x:c r="K50" s="56"/>
      <x:c r="L50" s="56"/>
      <x:c r="M50" s="56"/>
      <x:c r="N50" s="56"/>
      <x:c r="O50" s="56"/>
      <x:c r="P50" s="56"/>
      <x:c r="Q50" s="56"/>
      <x:c r="R50" s="56"/>
      <x:c r="S50" s="56"/>
      <x:c r="T50" s="56"/>
      <x:c r="U50" s="56"/>
      <x:c r="V50" s="56"/>
      <x:c r="W50" s="56"/>
    </x:row>
    <x:row r="51" ht="40" customHeight="1">
      <x:c r="A51" s="95" t="str">
        <x:v>職員ID</x:v>
      </x:c>
      <x:c r="B51" s="95" t="str">
        <x:v>基本役割</x:v>
      </x:c>
      <x:c r="C51" s="97" t="n">
        <x:v>46302.875</x:v>
      </x:c>
      <x:c r="D51" s="97" t="n">
        <x:v>46302.895833333336</x:v>
      </x:c>
      <x:c r="E51" s="97" t="n">
        <x:v>46302.916666666664</x:v>
      </x:c>
      <x:c r="F51" s="97" t="n">
        <x:v>46302.9375</x:v>
      </x:c>
      <x:c r="G51" s="97" t="n">
        <x:v>46302.958333333336</x:v>
      </x:c>
      <x:c r="H51" s="97" t="n">
        <x:v>46302.979166666664</x:v>
      </x:c>
      <x:c r="I51" s="97" t="n">
        <x:v>46303</x:v>
      </x:c>
      <x:c r="J51" s="97" t="n">
        <x:v>46303.020833333336</x:v>
      </x:c>
      <x:c r="K51" s="97" t="n">
        <x:v>46303.041666666664</x:v>
      </x:c>
      <x:c r="L51" s="97" t="n">
        <x:v>46303.0625</x:v>
      </x:c>
      <x:c r="M51" s="97" t="n">
        <x:v>46303.083333333336</x:v>
      </x:c>
      <x:c r="N51" s="97" t="n">
        <x:v>46303.104166666664</x:v>
      </x:c>
      <x:c r="O51" s="97" t="n">
        <x:v>46303.125</x:v>
      </x:c>
      <x:c r="P51" s="97" t="n">
        <x:v>46303.145833333336</x:v>
      </x:c>
      <x:c r="Q51" s="97" t="n">
        <x:v>46303.166666666664</x:v>
      </x:c>
      <x:c r="R51" s="97" t="n">
        <x:v>46303.1875</x:v>
      </x:c>
      <x:c r="S51" s="97" t="n">
        <x:v>46303.208333333336</x:v>
      </x:c>
      <x:c r="T51" s="97" t="n">
        <x:v>46303.229166666664</x:v>
      </x:c>
      <x:c r="U51" s="97" t="n">
        <x:v>46303.25</x:v>
      </x:c>
      <x:c r="V51" s="97" t="n">
        <x:v>46303.270833333336</x:v>
      </x:c>
      <x:c r="W51" s="95" t="str">
        <x:v>仮シフト一致</x:v>
      </x:c>
    </x:row>
    <x:row r="52" ht="26" customHeight="1">
      <x:c r="A52" s="56" t="str">
        <x:v>1F-09</x:v>
      </x:c>
      <x:c r="B52" s="56" t="str">
        <x:v>1F</x:v>
      </x:c>
      <x:c r="C52" s="56" t="str">
        <x:v>仮眠</x:v>
      </x:c>
      <x:c r="D52" s="56" t="str">
        <x:v>仮眠</x:v>
      </x:c>
      <x:c r="E52" s="56" t="str">
        <x:v>仮眠</x:v>
      </x:c>
      <x:c r="F52" s="56" t="str">
        <x:v>仮眠</x:v>
      </x:c>
      <x:c r="G52" s="56" t="str">
        <x:v>1F</x:v>
      </x:c>
      <x:c r="H52" s="56" t="str">
        <x:v>1F</x:v>
      </x:c>
      <x:c r="I52" s="56" t="str">
        <x:v>1F</x:v>
      </x:c>
      <x:c r="J52" s="56" t="str">
        <x:v>1F</x:v>
      </x:c>
      <x:c r="K52" s="56" t="str">
        <x:v>1F</x:v>
      </x:c>
      <x:c r="L52" s="56" t="str">
        <x:v>1F</x:v>
      </x:c>
      <x:c r="M52" s="56" t="str">
        <x:v>1F</x:v>
      </x:c>
      <x:c r="N52" s="56" t="str">
        <x:v>1F</x:v>
      </x:c>
      <x:c r="O52" s="56" t="str">
        <x:v>1F</x:v>
      </x:c>
      <x:c r="P52" s="56" t="str">
        <x:v>1F</x:v>
      </x:c>
      <x:c r="Q52" s="56" t="str">
        <x:v>1F</x:v>
      </x:c>
      <x:c r="R52" s="56" t="str">
        <x:v>1F</x:v>
      </x:c>
      <x:c r="S52" s="56" t="str">
        <x:v>1F</x:v>
      </x:c>
      <x:c r="T52" s="56" t="str">
        <x:v>1F</x:v>
      </x:c>
      <x:c r="U52" s="56" t="str">
        <x:v>1F</x:v>
      </x:c>
      <x:c r="V52" s="56" t="str">
        <x:v>1F</x:v>
      </x:c>
      <x:c r="W52" s="56" t="str">
        <x:f>IF(INDEX('週間仮シフト'!F$7:F$78,MATCH(A52,'週間仮シフト'!$A$7:$A$78,0))="夜","一致","不一致")</x:f>
        <x:v>一致</x:v>
      </x:c>
    </x:row>
    <x:row r="53" ht="26" customHeight="1">
      <x:c r="A53" s="56" t="str">
        <x:v>1F-10</x:v>
      </x:c>
      <x:c r="B53" s="56" t="str">
        <x:v>1F</x:v>
      </x:c>
      <x:c r="C53" s="56" t="str">
        <x:v>仮眠</x:v>
      </x:c>
      <x:c r="D53" s="56" t="str">
        <x:v>仮眠</x:v>
      </x:c>
      <x:c r="E53" s="56" t="str">
        <x:v>仮眠</x:v>
      </x:c>
      <x:c r="F53" s="56" t="str">
        <x:v>仮眠</x:v>
      </x:c>
      <x:c r="G53" s="56" t="str">
        <x:v>1F</x:v>
      </x:c>
      <x:c r="H53" s="56" t="str">
        <x:v>1F</x:v>
      </x:c>
      <x:c r="I53" s="56" t="str">
        <x:v>1F</x:v>
      </x:c>
      <x:c r="J53" s="56" t="str">
        <x:v>1F</x:v>
      </x:c>
      <x:c r="K53" s="56" t="str">
        <x:v>1F</x:v>
      </x:c>
      <x:c r="L53" s="56" t="str">
        <x:v>1F</x:v>
      </x:c>
      <x:c r="M53" s="56" t="str">
        <x:v>1F</x:v>
      </x:c>
      <x:c r="N53" s="56" t="str">
        <x:v>1F</x:v>
      </x:c>
      <x:c r="O53" s="56" t="str">
        <x:v>1F</x:v>
      </x:c>
      <x:c r="P53" s="56" t="str">
        <x:v>1F</x:v>
      </x:c>
      <x:c r="Q53" s="56" t="str">
        <x:v>1F</x:v>
      </x:c>
      <x:c r="R53" s="56" t="str">
        <x:v>1F</x:v>
      </x:c>
      <x:c r="S53" s="56" t="str">
        <x:v>1F</x:v>
      </x:c>
      <x:c r="T53" s="56" t="str">
        <x:v>1F</x:v>
      </x:c>
      <x:c r="U53" s="56" t="str">
        <x:v>1F</x:v>
      </x:c>
      <x:c r="V53" s="56" t="str">
        <x:v>1F</x:v>
      </x:c>
      <x:c r="W53" s="56" t="str">
        <x:f>IF(INDEX('週間仮シフト'!F$7:F$78,MATCH(A53,'週間仮シフト'!$A$7:$A$78,0))="夜","一致","不一致")</x:f>
        <x:v>一致</x:v>
      </x:c>
    </x:row>
    <x:row r="54" ht="26" customHeight="1">
      <x:c r="A54" s="56" t="str">
        <x:v>2F-09</x:v>
      </x:c>
      <x:c r="B54" s="56" t="str">
        <x:v>2F</x:v>
      </x:c>
      <x:c r="C54" s="56" t="str">
        <x:v>2F</x:v>
      </x:c>
      <x:c r="D54" s="56" t="str">
        <x:v>2F</x:v>
      </x:c>
      <x:c r="E54" s="56" t="str">
        <x:v>2F</x:v>
      </x:c>
      <x:c r="F54" s="56" t="str">
        <x:v>2F</x:v>
      </x:c>
      <x:c r="G54" s="56" t="str">
        <x:v>仮眠</x:v>
      </x:c>
      <x:c r="H54" s="56" t="str">
        <x:v>仮眠</x:v>
      </x:c>
      <x:c r="I54" s="56" t="str">
        <x:v>仮眠</x:v>
      </x:c>
      <x:c r="J54" s="56" t="str">
        <x:v>仮眠</x:v>
      </x:c>
      <x:c r="K54" s="56" t="str">
        <x:v>2F</x:v>
      </x:c>
      <x:c r="L54" s="56" t="str">
        <x:v>2F</x:v>
      </x:c>
      <x:c r="M54" s="56" t="str">
        <x:v>2F</x:v>
      </x:c>
      <x:c r="N54" s="56" t="str">
        <x:v>2F</x:v>
      </x:c>
      <x:c r="O54" s="56" t="str">
        <x:v>2F</x:v>
      </x:c>
      <x:c r="P54" s="56" t="str">
        <x:v>2F</x:v>
      </x:c>
      <x:c r="Q54" s="56" t="str">
        <x:v>2F</x:v>
      </x:c>
      <x:c r="R54" s="56" t="str">
        <x:v>2F</x:v>
      </x:c>
      <x:c r="S54" s="56" t="str">
        <x:v>2F</x:v>
      </x:c>
      <x:c r="T54" s="56" t="str">
        <x:v>2F</x:v>
      </x:c>
      <x:c r="U54" s="56" t="str">
        <x:v>2F</x:v>
      </x:c>
      <x:c r="V54" s="56" t="str">
        <x:v>2F</x:v>
      </x:c>
      <x:c r="W54" s="56" t="str">
        <x:f>IF(INDEX('週間仮シフト'!F$7:F$78,MATCH(A54,'週間仮シフト'!$A$7:$A$78,0))="夜","一致","不一致")</x:f>
        <x:v>一致</x:v>
      </x:c>
    </x:row>
    <x:row r="55" ht="26" customHeight="1">
      <x:c r="A55" s="56" t="str">
        <x:v>2F-10</x:v>
      </x:c>
      <x:c r="B55" s="56" t="str">
        <x:v>2F</x:v>
      </x:c>
      <x:c r="C55" s="56" t="str">
        <x:v>2F</x:v>
      </x:c>
      <x:c r="D55" s="56" t="str">
        <x:v>2F</x:v>
      </x:c>
      <x:c r="E55" s="56" t="str">
        <x:v>2F</x:v>
      </x:c>
      <x:c r="F55" s="56" t="str">
        <x:v>2F</x:v>
      </x:c>
      <x:c r="G55" s="56" t="str">
        <x:v>2F</x:v>
      </x:c>
      <x:c r="H55" s="56" t="str">
        <x:v>2F</x:v>
      </x:c>
      <x:c r="I55" s="56" t="str">
        <x:v>仮眠</x:v>
      </x:c>
      <x:c r="J55" s="56" t="str">
        <x:v>仮眠</x:v>
      </x:c>
      <x:c r="K55" s="56" t="str">
        <x:v>仮眠</x:v>
      </x:c>
      <x:c r="L55" s="56" t="str">
        <x:v>仮眠</x:v>
      </x:c>
      <x:c r="M55" s="56" t="str">
        <x:v>2F</x:v>
      </x:c>
      <x:c r="N55" s="56" t="str">
        <x:v>2F</x:v>
      </x:c>
      <x:c r="O55" s="56" t="str">
        <x:v>2F</x:v>
      </x:c>
      <x:c r="P55" s="56" t="str">
        <x:v>2F</x:v>
      </x:c>
      <x:c r="Q55" s="56" t="str">
        <x:v>2F</x:v>
      </x:c>
      <x:c r="R55" s="56" t="str">
        <x:v>2F</x:v>
      </x:c>
      <x:c r="S55" s="56" t="str">
        <x:v>2F</x:v>
      </x:c>
      <x:c r="T55" s="56" t="str">
        <x:v>2F</x:v>
      </x:c>
      <x:c r="U55" s="56" t="str">
        <x:v>2F</x:v>
      </x:c>
      <x:c r="V55" s="56" t="str">
        <x:v>2F</x:v>
      </x:c>
      <x:c r="W55" s="56" t="str">
        <x:f>IF(INDEX('週間仮シフト'!F$7:F$78,MATCH(A55,'週間仮シフト'!$A$7:$A$78,0))="夜","一致","不一致")</x:f>
        <x:v>一致</x:v>
      </x:c>
    </x:row>
    <x:row r="56" ht="26" customHeight="1">
      <x:c r="A56" s="56" t="str">
        <x:v>3F-07</x:v>
      </x:c>
      <x:c r="B56" s="56" t="str">
        <x:v>3F</x:v>
      </x:c>
      <x:c r="C56" s="56" t="str">
        <x:v>3F</x:v>
      </x:c>
      <x:c r="D56" s="56" t="str">
        <x:v>3F</x:v>
      </x:c>
      <x:c r="E56" s="56" t="str">
        <x:v>3F</x:v>
      </x:c>
      <x:c r="F56" s="56" t="str">
        <x:v>3F</x:v>
      </x:c>
      <x:c r="G56" s="56" t="str">
        <x:v>3F</x:v>
      </x:c>
      <x:c r="H56" s="56" t="str">
        <x:v>3F</x:v>
      </x:c>
      <x:c r="I56" s="56" t="str">
        <x:v>3F</x:v>
      </x:c>
      <x:c r="J56" s="56" t="str">
        <x:v>3F</x:v>
      </x:c>
      <x:c r="K56" s="56" t="str">
        <x:v>仮眠</x:v>
      </x:c>
      <x:c r="L56" s="56" t="str">
        <x:v>仮眠</x:v>
      </x:c>
      <x:c r="M56" s="56" t="str">
        <x:v>仮眠</x:v>
      </x:c>
      <x:c r="N56" s="56" t="str">
        <x:v>仮眠</x:v>
      </x:c>
      <x:c r="O56" s="56" t="str">
        <x:v>3F</x:v>
      </x:c>
      <x:c r="P56" s="56" t="str">
        <x:v>3F</x:v>
      </x:c>
      <x:c r="Q56" s="56" t="str">
        <x:v>3F</x:v>
      </x:c>
      <x:c r="R56" s="56" t="str">
        <x:v>3F</x:v>
      </x:c>
      <x:c r="S56" s="56" t="str">
        <x:v>3F</x:v>
      </x:c>
      <x:c r="T56" s="56" t="str">
        <x:v>3F</x:v>
      </x:c>
      <x:c r="U56" s="56" t="str">
        <x:v>3F</x:v>
      </x:c>
      <x:c r="V56" s="56" t="str">
        <x:v>3F</x:v>
      </x:c>
      <x:c r="W56" s="56" t="str">
        <x:f>IF(INDEX('週間仮シフト'!F$7:F$78,MATCH(A56,'週間仮シフト'!$A$7:$A$78,0))="夜","一致","不一致")</x:f>
        <x:v>一致</x:v>
      </x:c>
    </x:row>
    <x:row r="57" ht="26" customHeight="1">
      <x:c r="A57" s="56" t="str">
        <x:v>3F-08</x:v>
      </x:c>
      <x:c r="B57" s="56" t="str">
        <x:v>3F</x:v>
      </x:c>
      <x:c r="C57" s="56" t="str">
        <x:v>3F</x:v>
      </x:c>
      <x:c r="D57" s="56" t="str">
        <x:v>3F</x:v>
      </x:c>
      <x:c r="E57" s="56" t="str">
        <x:v>3F</x:v>
      </x:c>
      <x:c r="F57" s="56" t="str">
        <x:v>3F</x:v>
      </x:c>
      <x:c r="G57" s="56" t="str">
        <x:v>3F</x:v>
      </x:c>
      <x:c r="H57" s="56" t="str">
        <x:v>3F</x:v>
      </x:c>
      <x:c r="I57" s="56" t="str">
        <x:v>3F</x:v>
      </x:c>
      <x:c r="J57" s="56" t="str">
        <x:v>3F</x:v>
      </x:c>
      <x:c r="K57" s="56" t="str">
        <x:v>3F</x:v>
      </x:c>
      <x:c r="L57" s="56" t="str">
        <x:v>3F</x:v>
      </x:c>
      <x:c r="M57" s="56" t="str">
        <x:v>仮眠</x:v>
      </x:c>
      <x:c r="N57" s="56" t="str">
        <x:v>仮眠</x:v>
      </x:c>
      <x:c r="O57" s="56" t="str">
        <x:v>仮眠</x:v>
      </x:c>
      <x:c r="P57" s="56" t="str">
        <x:v>仮眠</x:v>
      </x:c>
      <x:c r="Q57" s="56" t="str">
        <x:v>3F</x:v>
      </x:c>
      <x:c r="R57" s="56" t="str">
        <x:v>3F</x:v>
      </x:c>
      <x:c r="S57" s="56" t="str">
        <x:v>3F</x:v>
      </x:c>
      <x:c r="T57" s="56" t="str">
        <x:v>3F</x:v>
      </x:c>
      <x:c r="U57" s="56" t="str">
        <x:v>3F</x:v>
      </x:c>
      <x:c r="V57" s="56" t="str">
        <x:v>3F</x:v>
      </x:c>
      <x:c r="W57" s="56" t="str">
        <x:f>IF(INDEX('週間仮シフト'!F$7:F$78,MATCH(A57,'週間仮シフト'!$A$7:$A$78,0))="夜","一致","不一致")</x:f>
        <x:v>一致</x:v>
      </x:c>
    </x:row>
    <x:row r="58" ht="26" customHeight="1">
      <x:c r="A58" s="56" t="str">
        <x:v>1F-03</x:v>
      </x:c>
      <x:c r="B58" s="56" t="str">
        <x:v>統括</x:v>
      </x:c>
      <x:c r="C58" s="56" t="str">
        <x:v>1F</x:v>
      </x:c>
      <x:c r="D58" s="56" t="str">
        <x:v>1F</x:v>
      </x:c>
      <x:c r="E58" s="56" t="str">
        <x:v>1F</x:v>
      </x:c>
      <x:c r="F58" s="56" t="str">
        <x:v>1F</x:v>
      </x:c>
      <x:c r="G58" s="56" t="str">
        <x:v>統括</x:v>
      </x:c>
      <x:c r="H58" s="56" t="str">
        <x:v>統括</x:v>
      </x:c>
      <x:c r="I58" s="56" t="str">
        <x:v>2F</x:v>
      </x:c>
      <x:c r="J58" s="56" t="str">
        <x:v>2F</x:v>
      </x:c>
      <x:c r="K58" s="56" t="str">
        <x:v>3F</x:v>
      </x:c>
      <x:c r="L58" s="56" t="str">
        <x:v>3F</x:v>
      </x:c>
      <x:c r="M58" s="56" t="str">
        <x:v>3F</x:v>
      </x:c>
      <x:c r="N58" s="56" t="str">
        <x:v>3F</x:v>
      </x:c>
      <x:c r="O58" s="56" t="str">
        <x:v>仮眠</x:v>
      </x:c>
      <x:c r="P58" s="56" t="str">
        <x:v>仮眠</x:v>
      </x:c>
      <x:c r="Q58" s="56" t="str">
        <x:v>仮眠</x:v>
      </x:c>
      <x:c r="R58" s="56" t="str">
        <x:v>仮眠</x:v>
      </x:c>
      <x:c r="S58" s="56" t="str">
        <x:v>統括</x:v>
      </x:c>
      <x:c r="T58" s="56" t="str">
        <x:v>統括</x:v>
      </x:c>
      <x:c r="U58" s="56" t="str">
        <x:v>統括</x:v>
      </x:c>
      <x:c r="V58" s="56" t="str">
        <x:v>統括</x:v>
      </x:c>
      <x:c r="W58" s="56" t="str">
        <x:f>IF(INDEX('週間仮シフト'!F$7:F$78,MATCH(A58,'週間仮シフト'!$A$7:$A$78,0))="統","一致","不一致")</x:f>
        <x:v>一致</x:v>
      </x:c>
    </x:row>
    <x:row r="59" ht="26" customHeight="1">
      <x:c r="A59" s="56" t="str">
        <x:v>1F-04</x:v>
      </x:c>
      <x:c r="B59" s="56" t="str">
        <x:v>統括</x:v>
      </x:c>
      <x:c r="C59" s="56" t="str">
        <x:v>1F</x:v>
      </x:c>
      <x:c r="D59" s="56" t="str">
        <x:v>1F</x:v>
      </x:c>
      <x:c r="E59" s="56" t="str">
        <x:v>統括</x:v>
      </x:c>
      <x:c r="F59" s="56" t="str">
        <x:v>統括</x:v>
      </x:c>
      <x:c r="G59" s="56" t="str">
        <x:v>統括</x:v>
      </x:c>
      <x:c r="H59" s="56" t="str">
        <x:v>統括</x:v>
      </x:c>
      <x:c r="I59" s="56" t="str">
        <x:v>統括</x:v>
      </x:c>
      <x:c r="J59" s="56" t="str">
        <x:v>統括</x:v>
      </x:c>
      <x:c r="K59" s="56" t="str">
        <x:v>統括</x:v>
      </x:c>
      <x:c r="L59" s="56" t="str">
        <x:v>統括</x:v>
      </x:c>
      <x:c r="M59" s="56" t="str">
        <x:v>統括</x:v>
      </x:c>
      <x:c r="N59" s="56" t="str">
        <x:v>統括</x:v>
      </x:c>
      <x:c r="O59" s="56" t="str">
        <x:v>統括</x:v>
      </x:c>
      <x:c r="P59" s="56" t="str">
        <x:v>統括</x:v>
      </x:c>
      <x:c r="Q59" s="56" t="str">
        <x:v>統括</x:v>
      </x:c>
      <x:c r="R59" s="56" t="str">
        <x:v>統括</x:v>
      </x:c>
      <x:c r="S59" s="56" t="str">
        <x:v>仮眠</x:v>
      </x:c>
      <x:c r="T59" s="56" t="str">
        <x:v>仮眠</x:v>
      </x:c>
      <x:c r="U59" s="56" t="str">
        <x:v>仮眠</x:v>
      </x:c>
      <x:c r="V59" s="56" t="str">
        <x:v>仮眠</x:v>
      </x:c>
      <x:c r="W59" s="56" t="str">
        <x:f>IF(INDEX('週間仮シフト'!F$7:F$78,MATCH(A59,'週間仮シフト'!$A$7:$A$78,0))="統","一致","不一致")</x:f>
        <x:v>一致</x:v>
      </x:c>
    </x:row>
    <x:row r="60" ht="26" customHeight="1">
      <x:c r="A60" s="56" t="str">
        <x:v>1F-23</x:v>
      </x:c>
      <x:c r="B60" s="56" t="str">
        <x:v>短時間</x:v>
      </x:c>
      <x:c r="C60" s="56" t="str">
        <x:v>非勤務</x:v>
      </x:c>
      <x:c r="D60" s="56" t="str">
        <x:v>非勤務</x:v>
      </x:c>
      <x:c r="E60" s="56" t="str">
        <x:v>1F</x:v>
      </x:c>
      <x:c r="F60" s="56" t="str">
        <x:v>1F</x:v>
      </x:c>
      <x:c r="G60" s="56" t="str">
        <x:v>2F</x:v>
      </x:c>
      <x:c r="H60" s="56" t="str">
        <x:v>2F</x:v>
      </x:c>
      <x:c r="I60" s="56" t="str">
        <x:v>2F</x:v>
      </x:c>
      <x:c r="J60" s="56" t="str">
        <x:v>2F</x:v>
      </x:c>
      <x:c r="K60" s="56" t="str">
        <x:v>非勤務</x:v>
      </x:c>
      <x:c r="L60" s="56" t="str">
        <x:v>非勤務</x:v>
      </x:c>
      <x:c r="M60" s="56" t="str">
        <x:v>非勤務</x:v>
      </x:c>
      <x:c r="N60" s="56" t="str">
        <x:v>非勤務</x:v>
      </x:c>
      <x:c r="O60" s="56" t="str">
        <x:v>非勤務</x:v>
      </x:c>
      <x:c r="P60" s="56" t="str">
        <x:v>非勤務</x:v>
      </x:c>
      <x:c r="Q60" s="56" t="str">
        <x:v>非勤務</x:v>
      </x:c>
      <x:c r="R60" s="56" t="str">
        <x:v>非勤務</x:v>
      </x:c>
      <x:c r="S60" s="56" t="str">
        <x:v>非勤務</x:v>
      </x:c>
      <x:c r="T60" s="56" t="str">
        <x:v>非勤務</x:v>
      </x:c>
      <x:c r="U60" s="56" t="str">
        <x:v>非勤務</x:v>
      </x:c>
      <x:c r="V60" s="56" t="str">
        <x:v>非勤務</x:v>
      </x:c>
      <x:c r="W60" s="56" t="str">
        <x:f>IF(INDEX('週間仮シフト'!F$7:F$78,MATCH(A60,'週間仮シフト'!$A$7:$A$78,0))="短A","一致","不一致")</x:f>
        <x:v>一致</x:v>
      </x:c>
    </x:row>
    <x:row r="61" ht="26" customHeight="1">
      <x:c r="A61" s="56" t="str">
        <x:v>3F-24</x:v>
      </x:c>
      <x:c r="B61" s="56" t="str">
        <x:v>短時間</x:v>
      </x:c>
      <x:c r="C61" s="56" t="str">
        <x:v>非勤務</x:v>
      </x:c>
      <x:c r="D61" s="56" t="str">
        <x:v>非勤務</x:v>
      </x:c>
      <x:c r="E61" s="56" t="str">
        <x:v>非勤務</x:v>
      </x:c>
      <x:c r="F61" s="56" t="str">
        <x:v>非勤務</x:v>
      </x:c>
      <x:c r="G61" s="56" t="str">
        <x:v>非勤務</x:v>
      </x:c>
      <x:c r="H61" s="56" t="str">
        <x:v>非勤務</x:v>
      </x:c>
      <x:c r="I61" s="56" t="str">
        <x:v>非勤務</x:v>
      </x:c>
      <x:c r="J61" s="56" t="str">
        <x:v>非勤務</x:v>
      </x:c>
      <x:c r="K61" s="56" t="str">
        <x:v>2F</x:v>
      </x:c>
      <x:c r="L61" s="56" t="str">
        <x:v>2F</x:v>
      </x:c>
      <x:c r="M61" s="56" t="str">
        <x:v>3F</x:v>
      </x:c>
      <x:c r="N61" s="56" t="str">
        <x:v>3F</x:v>
      </x:c>
      <x:c r="O61" s="56" t="str">
        <x:v>3F</x:v>
      </x:c>
      <x:c r="P61" s="56" t="str">
        <x:v>3F</x:v>
      </x:c>
      <x:c r="Q61" s="56" t="str">
        <x:v>非勤務</x:v>
      </x:c>
      <x:c r="R61" s="56" t="str">
        <x:v>非勤務</x:v>
      </x:c>
      <x:c r="S61" s="56" t="str">
        <x:v>非勤務</x:v>
      </x:c>
      <x:c r="T61" s="56" t="str">
        <x:v>非勤務</x:v>
      </x:c>
      <x:c r="U61" s="56" t="str">
        <x:v>非勤務</x:v>
      </x:c>
      <x:c r="V61" s="56" t="str">
        <x:v>非勤務</x:v>
      </x:c>
      <x:c r="W61" s="56" t="str">
        <x:f>IF(INDEX('週間仮シフト'!G$7:G$78,MATCH(A61,'週間仮シフト'!$A$7:$A$78,0))="短B","一致","不一致")</x:f>
        <x:v>一致</x:v>
      </x:c>
    </x:row>
    <x:row r="62" ht="26" customHeight="1">
      <x:c r="A62" s="56"/>
      <x:c r="B62" s="56"/>
      <x:c r="C62" s="56"/>
      <x:c r="D62" s="56"/>
      <x:c r="E62" s="56"/>
      <x:c r="F62" s="56"/>
      <x:c r="G62" s="56"/>
      <x:c r="H62" s="56"/>
      <x:c r="I62" s="56"/>
      <x:c r="J62" s="56"/>
      <x:c r="K62" s="56"/>
      <x:c r="L62" s="56"/>
      <x:c r="M62" s="56"/>
      <x:c r="N62" s="56"/>
      <x:c r="O62" s="56"/>
      <x:c r="P62" s="56"/>
      <x:c r="Q62" s="56"/>
      <x:c r="R62" s="56"/>
      <x:c r="S62" s="56"/>
      <x:c r="T62" s="56"/>
      <x:c r="U62" s="56"/>
      <x:c r="V62" s="56"/>
      <x:c r="W62" s="56"/>
    </x:row>
    <x:row r="63" ht="26" customHeight="1">
      <x:c r="A63" s="56" t="str">
        <x:v>1F対応中</x:v>
      </x:c>
      <x:c r="B63" s="56" t="n">
        <x:f>'施設設定'!H17</x:f>
        <x:v>2</x:v>
      </x:c>
      <x:c r="C63" s="56" t="n">
        <x:f>COUNTIFS(C52:C61,"1F",$W52:$W61,"一致")</x:f>
        <x:v>2</x:v>
      </x:c>
      <x:c r="D63" s="56" t="n">
        <x:f>COUNTIFS(D52:D61,"1F",$W52:$W61,"一致")</x:f>
        <x:v>2</x:v>
      </x:c>
      <x:c r="E63" s="56" t="n">
        <x:f>COUNTIFS(E52:E61,"1F",$W52:$W61,"一致")</x:f>
        <x:v>2</x:v>
      </x:c>
      <x:c r="F63" s="56" t="n">
        <x:f>COUNTIFS(F52:F61,"1F",$W52:$W61,"一致")</x:f>
        <x:v>2</x:v>
      </x:c>
      <x:c r="G63" s="56" t="n">
        <x:f>COUNTIFS(G52:G61,"1F",$W52:$W61,"一致")</x:f>
        <x:v>2</x:v>
      </x:c>
      <x:c r="H63" s="56" t="n">
        <x:f>COUNTIFS(H52:H61,"1F",$W52:$W61,"一致")</x:f>
        <x:v>2</x:v>
      </x:c>
      <x:c r="I63" s="56" t="n">
        <x:f>COUNTIFS(I52:I61,"1F",$W52:$W61,"一致")</x:f>
        <x:v>2</x:v>
      </x:c>
      <x:c r="J63" s="56" t="n">
        <x:f>COUNTIFS(J52:J61,"1F",$W52:$W61,"一致")</x:f>
        <x:v>2</x:v>
      </x:c>
      <x:c r="K63" s="56" t="n">
        <x:f>COUNTIFS(K52:K61,"1F",$W52:$W61,"一致")</x:f>
        <x:v>2</x:v>
      </x:c>
      <x:c r="L63" s="56" t="n">
        <x:f>COUNTIFS(L52:L61,"1F",$W52:$W61,"一致")</x:f>
        <x:v>2</x:v>
      </x:c>
      <x:c r="M63" s="56" t="n">
        <x:f>COUNTIFS(M52:M61,"1F",$W52:$W61,"一致")</x:f>
        <x:v>2</x:v>
      </x:c>
      <x:c r="N63" s="56" t="n">
        <x:f>COUNTIFS(N52:N61,"1F",$W52:$W61,"一致")</x:f>
        <x:v>2</x:v>
      </x:c>
      <x:c r="O63" s="56" t="n">
        <x:f>COUNTIFS(O52:O61,"1F",$W52:$W61,"一致")</x:f>
        <x:v>2</x:v>
      </x:c>
      <x:c r="P63" s="56" t="n">
        <x:f>COUNTIFS(P52:P61,"1F",$W52:$W61,"一致")</x:f>
        <x:v>2</x:v>
      </x:c>
      <x:c r="Q63" s="56" t="n">
        <x:f>COUNTIFS(Q52:Q61,"1F",$W52:$W61,"一致")</x:f>
        <x:v>2</x:v>
      </x:c>
      <x:c r="R63" s="56" t="n">
        <x:f>COUNTIFS(R52:R61,"1F",$W52:$W61,"一致")</x:f>
        <x:v>2</x:v>
      </x:c>
      <x:c r="S63" s="56" t="n">
        <x:f>COUNTIFS(S52:S61,"1F",$W52:$W61,"一致")</x:f>
        <x:v>2</x:v>
      </x:c>
      <x:c r="T63" s="56" t="n">
        <x:f>COUNTIFS(T52:T61,"1F",$W52:$W61,"一致")</x:f>
        <x:v>2</x:v>
      </x:c>
      <x:c r="U63" s="56" t="n">
        <x:f>COUNTIFS(U52:U61,"1F",$W52:$W61,"一致")</x:f>
        <x:v>2</x:v>
      </x:c>
      <x:c r="V63" s="56" t="n">
        <x:f>COUNTIFS(V52:V61,"1F",$W52:$W61,"一致")</x:f>
        <x:v>2</x:v>
      </x:c>
      <x:c r="W63" s="56"/>
    </x:row>
    <x:row r="64" ht="26" customHeight="1">
      <x:c r="A64" s="56" t="str">
        <x:v>2F対応中</x:v>
      </x:c>
      <x:c r="B64" s="56" t="n">
        <x:f>'施設設定'!H18</x:f>
        <x:v>2</x:v>
      </x:c>
      <x:c r="C64" s="56" t="n">
        <x:f>COUNTIFS(C52:C61,"2F",$W52:$W61,"一致")</x:f>
        <x:v>2</x:v>
      </x:c>
      <x:c r="D64" s="56" t="n">
        <x:f>COUNTIFS(D52:D61,"2F",$W52:$W61,"一致")</x:f>
        <x:v>2</x:v>
      </x:c>
      <x:c r="E64" s="56" t="n">
        <x:f>COUNTIFS(E52:E61,"2F",$W52:$W61,"一致")</x:f>
        <x:v>2</x:v>
      </x:c>
      <x:c r="F64" s="56" t="n">
        <x:f>COUNTIFS(F52:F61,"2F",$W52:$W61,"一致")</x:f>
        <x:v>2</x:v>
      </x:c>
      <x:c r="G64" s="56" t="n">
        <x:f>COUNTIFS(G52:G61,"2F",$W52:$W61,"一致")</x:f>
        <x:v>2</x:v>
      </x:c>
      <x:c r="H64" s="56" t="n">
        <x:f>COUNTIFS(H52:H61,"2F",$W52:$W61,"一致")</x:f>
        <x:v>2</x:v>
      </x:c>
      <x:c r="I64" s="56" t="n">
        <x:f>COUNTIFS(I52:I61,"2F",$W52:$W61,"一致")</x:f>
        <x:v>2</x:v>
      </x:c>
      <x:c r="J64" s="56" t="n">
        <x:f>COUNTIFS(J52:J61,"2F",$W52:$W61,"一致")</x:f>
        <x:v>2</x:v>
      </x:c>
      <x:c r="K64" s="56" t="n">
        <x:f>COUNTIFS(K52:K61,"2F",$W52:$W61,"一致")</x:f>
        <x:v>2</x:v>
      </x:c>
      <x:c r="L64" s="56" t="n">
        <x:f>COUNTIFS(L52:L61,"2F",$W52:$W61,"一致")</x:f>
        <x:v>2</x:v>
      </x:c>
      <x:c r="M64" s="56" t="n">
        <x:f>COUNTIFS(M52:M61,"2F",$W52:$W61,"一致")</x:f>
        <x:v>2</x:v>
      </x:c>
      <x:c r="N64" s="56" t="n">
        <x:f>COUNTIFS(N52:N61,"2F",$W52:$W61,"一致")</x:f>
        <x:v>2</x:v>
      </x:c>
      <x:c r="O64" s="56" t="n">
        <x:f>COUNTIFS(O52:O61,"2F",$W52:$W61,"一致")</x:f>
        <x:v>2</x:v>
      </x:c>
      <x:c r="P64" s="56" t="n">
        <x:f>COUNTIFS(P52:P61,"2F",$W52:$W61,"一致")</x:f>
        <x:v>2</x:v>
      </x:c>
      <x:c r="Q64" s="56" t="n">
        <x:f>COUNTIFS(Q52:Q61,"2F",$W52:$W61,"一致")</x:f>
        <x:v>2</x:v>
      </x:c>
      <x:c r="R64" s="56" t="n">
        <x:f>COUNTIFS(R52:R61,"2F",$W52:$W61,"一致")</x:f>
        <x:v>2</x:v>
      </x:c>
      <x:c r="S64" s="56" t="n">
        <x:f>COUNTIFS(S52:S61,"2F",$W52:$W61,"一致")</x:f>
        <x:v>2</x:v>
      </x:c>
      <x:c r="T64" s="56" t="n">
        <x:f>COUNTIFS(T52:T61,"2F",$W52:$W61,"一致")</x:f>
        <x:v>2</x:v>
      </x:c>
      <x:c r="U64" s="56" t="n">
        <x:f>COUNTIFS(U52:U61,"2F",$W52:$W61,"一致")</x:f>
        <x:v>2</x:v>
      </x:c>
      <x:c r="V64" s="56" t="n">
        <x:f>COUNTIFS(V52:V61,"2F",$W52:$W61,"一致")</x:f>
        <x:v>2</x:v>
      </x:c>
      <x:c r="W64" s="56"/>
    </x:row>
    <x:row r="65" ht="26" customHeight="1">
      <x:c r="A65" s="56" t="str">
        <x:v>3F対応中</x:v>
      </x:c>
      <x:c r="B65" s="56" t="n">
        <x:f>'施設設定'!H19</x:f>
        <x:v>2</x:v>
      </x:c>
      <x:c r="C65" s="56" t="n">
        <x:f>COUNTIFS(C52:C61,"3F",$W52:$W61,"一致")</x:f>
        <x:v>2</x:v>
      </x:c>
      <x:c r="D65" s="56" t="n">
        <x:f>COUNTIFS(D52:D61,"3F",$W52:$W61,"一致")</x:f>
        <x:v>2</x:v>
      </x:c>
      <x:c r="E65" s="56" t="n">
        <x:f>COUNTIFS(E52:E61,"3F",$W52:$W61,"一致")</x:f>
        <x:v>2</x:v>
      </x:c>
      <x:c r="F65" s="56" t="n">
        <x:f>COUNTIFS(F52:F61,"3F",$W52:$W61,"一致")</x:f>
        <x:v>2</x:v>
      </x:c>
      <x:c r="G65" s="56" t="n">
        <x:f>COUNTIFS(G52:G61,"3F",$W52:$W61,"一致")</x:f>
        <x:v>2</x:v>
      </x:c>
      <x:c r="H65" s="56" t="n">
        <x:f>COUNTIFS(H52:H61,"3F",$W52:$W61,"一致")</x:f>
        <x:v>2</x:v>
      </x:c>
      <x:c r="I65" s="56" t="n">
        <x:f>COUNTIFS(I52:I61,"3F",$W52:$W61,"一致")</x:f>
        <x:v>2</x:v>
      </x:c>
      <x:c r="J65" s="56" t="n">
        <x:f>COUNTIFS(J52:J61,"3F",$W52:$W61,"一致")</x:f>
        <x:v>2</x:v>
      </x:c>
      <x:c r="K65" s="56" t="n">
        <x:f>COUNTIFS(K52:K61,"3F",$W52:$W61,"一致")</x:f>
        <x:v>2</x:v>
      </x:c>
      <x:c r="L65" s="56" t="n">
        <x:f>COUNTIFS(L52:L61,"3F",$W52:$W61,"一致")</x:f>
        <x:v>2</x:v>
      </x:c>
      <x:c r="M65" s="56" t="n">
        <x:f>COUNTIFS(M52:M61,"3F",$W52:$W61,"一致")</x:f>
        <x:v>2</x:v>
      </x:c>
      <x:c r="N65" s="56" t="n">
        <x:f>COUNTIFS(N52:N61,"3F",$W52:$W61,"一致")</x:f>
        <x:v>2</x:v>
      </x:c>
      <x:c r="O65" s="56" t="n">
        <x:f>COUNTIFS(O52:O61,"3F",$W52:$W61,"一致")</x:f>
        <x:v>2</x:v>
      </x:c>
      <x:c r="P65" s="56" t="n">
        <x:f>COUNTIFS(P52:P61,"3F",$W52:$W61,"一致")</x:f>
        <x:v>2</x:v>
      </x:c>
      <x:c r="Q65" s="56" t="n">
        <x:f>COUNTIFS(Q52:Q61,"3F",$W52:$W61,"一致")</x:f>
        <x:v>2</x:v>
      </x:c>
      <x:c r="R65" s="56" t="n">
        <x:f>COUNTIFS(R52:R61,"3F",$W52:$W61,"一致")</x:f>
        <x:v>2</x:v>
      </x:c>
      <x:c r="S65" s="56" t="n">
        <x:f>COUNTIFS(S52:S61,"3F",$W52:$W61,"一致")</x:f>
        <x:v>2</x:v>
      </x:c>
      <x:c r="T65" s="56" t="n">
        <x:f>COUNTIFS(T52:T61,"3F",$W52:$W61,"一致")</x:f>
        <x:v>2</x:v>
      </x:c>
      <x:c r="U65" s="56" t="n">
        <x:f>COUNTIFS(U52:U61,"3F",$W52:$W61,"一致")</x:f>
        <x:v>2</x:v>
      </x:c>
      <x:c r="V65" s="56" t="n">
        <x:f>COUNTIFS(V52:V61,"3F",$W52:$W61,"一致")</x:f>
        <x:v>2</x:v>
      </x:c>
      <x:c r="W65" s="56"/>
    </x:row>
    <x:row r="66" ht="26" customHeight="1">
      <x:c r="A66" s="56" t="str">
        <x:v>自由な統括</x:v>
      </x:c>
      <x:c r="B66" s="56" t="n">
        <x:f>'施設設定'!B12</x:f>
        <x:v>1</x:v>
      </x:c>
      <x:c r="C66" s="56" t="n">
        <x:f>COUNTIFS(C52:C61,"統括",$W52:$W61,"一致")</x:f>
        <x:v>0</x:v>
      </x:c>
      <x:c r="D66" s="56" t="n">
        <x:f>COUNTIFS(D52:D61,"統括",$W52:$W61,"一致")</x:f>
        <x:v>0</x:v>
      </x:c>
      <x:c r="E66" s="56" t="n">
        <x:f>COUNTIFS(E52:E61,"統括",$W52:$W61,"一致")</x:f>
        <x:v>1</x:v>
      </x:c>
      <x:c r="F66" s="56" t="n">
        <x:f>COUNTIFS(F52:F61,"統括",$W52:$W61,"一致")</x:f>
        <x:v>1</x:v>
      </x:c>
      <x:c r="G66" s="56" t="n">
        <x:f>COUNTIFS(G52:G61,"統括",$W52:$W61,"一致")</x:f>
        <x:v>2</x:v>
      </x:c>
      <x:c r="H66" s="56" t="n">
        <x:f>COUNTIFS(H52:H61,"統括",$W52:$W61,"一致")</x:f>
        <x:v>2</x:v>
      </x:c>
      <x:c r="I66" s="56" t="n">
        <x:f>COUNTIFS(I52:I61,"統括",$W52:$W61,"一致")</x:f>
        <x:v>1</x:v>
      </x:c>
      <x:c r="J66" s="56" t="n">
        <x:f>COUNTIFS(J52:J61,"統括",$W52:$W61,"一致")</x:f>
        <x:v>1</x:v>
      </x:c>
      <x:c r="K66" s="56" t="n">
        <x:f>COUNTIFS(K52:K61,"統括",$W52:$W61,"一致")</x:f>
        <x:v>1</x:v>
      </x:c>
      <x:c r="L66" s="56" t="n">
        <x:f>COUNTIFS(L52:L61,"統括",$W52:$W61,"一致")</x:f>
        <x:v>1</x:v>
      </x:c>
      <x:c r="M66" s="56" t="n">
        <x:f>COUNTIFS(M52:M61,"統括",$W52:$W61,"一致")</x:f>
        <x:v>1</x:v>
      </x:c>
      <x:c r="N66" s="56" t="n">
        <x:f>COUNTIFS(N52:N61,"統括",$W52:$W61,"一致")</x:f>
        <x:v>1</x:v>
      </x:c>
      <x:c r="O66" s="56" t="n">
        <x:f>COUNTIFS(O52:O61,"統括",$W52:$W61,"一致")</x:f>
        <x:v>1</x:v>
      </x:c>
      <x:c r="P66" s="56" t="n">
        <x:f>COUNTIFS(P52:P61,"統括",$W52:$W61,"一致")</x:f>
        <x:v>1</x:v>
      </x:c>
      <x:c r="Q66" s="56" t="n">
        <x:f>COUNTIFS(Q52:Q61,"統括",$W52:$W61,"一致")</x:f>
        <x:v>1</x:v>
      </x:c>
      <x:c r="R66" s="56" t="n">
        <x:f>COUNTIFS(R52:R61,"統括",$W52:$W61,"一致")</x:f>
        <x:v>1</x:v>
      </x:c>
      <x:c r="S66" s="56" t="n">
        <x:f>COUNTIFS(S52:S61,"統括",$W52:$W61,"一致")</x:f>
        <x:v>1</x:v>
      </x:c>
      <x:c r="T66" s="56" t="n">
        <x:f>COUNTIFS(T52:T61,"統括",$W52:$W61,"一致")</x:f>
        <x:v>1</x:v>
      </x:c>
      <x:c r="U66" s="56" t="n">
        <x:f>COUNTIFS(U52:U61,"統括",$W52:$W61,"一致")</x:f>
        <x:v>1</x:v>
      </x:c>
      <x:c r="V66" s="56" t="n">
        <x:f>COUNTIFS(V52:V61,"統括",$W52:$W61,"一致")</x:f>
        <x:v>1</x:v>
      </x:c>
      <x:c r="W66" s="56"/>
    </x:row>
    <x:row r="67" ht="26" customHeight="1">
      <x:c r="A67" s="56" t="str">
        <x:v>配置判定</x:v>
      </x:c>
      <x:c r="B67" s="56"/>
      <x:c r="C67" s="56" t="str">
        <x:f>IF(AND(C63&gt;=$B63,C64&gt;=$B64,C65&gt;=$B65,C66&gt;=$B66),"充足","不足")</x:f>
        <x:v>不足</x:v>
      </x:c>
      <x:c r="D67" s="56" t="str">
        <x:f>IF(AND(D63&gt;=$B63,D64&gt;=$B64,D65&gt;=$B65,D66&gt;=$B66),"充足","不足")</x:f>
        <x:v>不足</x:v>
      </x:c>
      <x:c r="E67" s="56" t="str">
        <x:f>IF(AND(E63&gt;=$B63,E64&gt;=$B64,E65&gt;=$B65,E66&gt;=$B66),"充足","不足")</x:f>
        <x:v>充足</x:v>
      </x:c>
      <x:c r="F67" s="56" t="str">
        <x:f>IF(AND(F63&gt;=$B63,F64&gt;=$B64,F65&gt;=$B65,F66&gt;=$B66),"充足","不足")</x:f>
        <x:v>充足</x:v>
      </x:c>
      <x:c r="G67" s="56" t="str">
        <x:f>IF(AND(G63&gt;=$B63,G64&gt;=$B64,G65&gt;=$B65,G66&gt;=$B66),"充足","不足")</x:f>
        <x:v>充足</x:v>
      </x:c>
      <x:c r="H67" s="56" t="str">
        <x:f>IF(AND(H63&gt;=$B63,H64&gt;=$B64,H65&gt;=$B65,H66&gt;=$B66),"充足","不足")</x:f>
        <x:v>充足</x:v>
      </x:c>
      <x:c r="I67" s="56" t="str">
        <x:f>IF(AND(I63&gt;=$B63,I64&gt;=$B64,I65&gt;=$B65,I66&gt;=$B66),"充足","不足")</x:f>
        <x:v>充足</x:v>
      </x:c>
      <x:c r="J67" s="56" t="str">
        <x:f>IF(AND(J63&gt;=$B63,J64&gt;=$B64,J65&gt;=$B65,J66&gt;=$B66),"充足","不足")</x:f>
        <x:v>充足</x:v>
      </x:c>
      <x:c r="K67" s="56" t="str">
        <x:f>IF(AND(K63&gt;=$B63,K64&gt;=$B64,K65&gt;=$B65,K66&gt;=$B66),"充足","不足")</x:f>
        <x:v>充足</x:v>
      </x:c>
      <x:c r="L67" s="56" t="str">
        <x:f>IF(AND(L63&gt;=$B63,L64&gt;=$B64,L65&gt;=$B65,L66&gt;=$B66),"充足","不足")</x:f>
        <x:v>充足</x:v>
      </x:c>
      <x:c r="M67" s="56" t="str">
        <x:f>IF(AND(M63&gt;=$B63,M64&gt;=$B64,M65&gt;=$B65,M66&gt;=$B66),"充足","不足")</x:f>
        <x:v>充足</x:v>
      </x:c>
      <x:c r="N67" s="56" t="str">
        <x:f>IF(AND(N63&gt;=$B63,N64&gt;=$B64,N65&gt;=$B65,N66&gt;=$B66),"充足","不足")</x:f>
        <x:v>充足</x:v>
      </x:c>
      <x:c r="O67" s="56" t="str">
        <x:f>IF(AND(O63&gt;=$B63,O64&gt;=$B64,O65&gt;=$B65,O66&gt;=$B66),"充足","不足")</x:f>
        <x:v>充足</x:v>
      </x:c>
      <x:c r="P67" s="56" t="str">
        <x:f>IF(AND(P63&gt;=$B63,P64&gt;=$B64,P65&gt;=$B65,P66&gt;=$B66),"充足","不足")</x:f>
        <x:v>充足</x:v>
      </x:c>
      <x:c r="Q67" s="56" t="str">
        <x:f>IF(AND(Q63&gt;=$B63,Q64&gt;=$B64,Q65&gt;=$B65,Q66&gt;=$B66),"充足","不足")</x:f>
        <x:v>充足</x:v>
      </x:c>
      <x:c r="R67" s="56" t="str">
        <x:f>IF(AND(R63&gt;=$B63,R64&gt;=$B64,R65&gt;=$B65,R66&gt;=$B66),"充足","不足")</x:f>
        <x:v>充足</x:v>
      </x:c>
      <x:c r="S67" s="56" t="str">
        <x:f>IF(AND(S63&gt;=$B63,S64&gt;=$B64,S65&gt;=$B65,S66&gt;=$B66),"充足","不足")</x:f>
        <x:v>充足</x:v>
      </x:c>
      <x:c r="T67" s="56" t="str">
        <x:f>IF(AND(T63&gt;=$B63,T64&gt;=$B64,T65&gt;=$B65,T66&gt;=$B66),"充足","不足")</x:f>
        <x:v>充足</x:v>
      </x:c>
      <x:c r="U67" s="56" t="str">
        <x:f>IF(AND(U63&gt;=$B63,U64&gt;=$B64,U65&gt;=$B65,U66&gt;=$B66),"充足","不足")</x:f>
        <x:v>充足</x:v>
      </x:c>
      <x:c r="V67" s="56" t="str">
        <x:f>IF(AND(V63&gt;=$B63,V64&gt;=$B64,V65&gt;=$B65,V66&gt;=$B66),"充足","不足")</x:f>
        <x:v>充足</x:v>
      </x:c>
      <x:c r="W67" s="56"/>
    </x:row>
    <x:row r="68" ht="26" customHeight="1">
      <x:c r="A68" s="56"/>
      <x:c r="B68" s="56"/>
      <x:c r="C68" s="56"/>
      <x:c r="D68" s="56"/>
      <x:c r="E68" s="56"/>
      <x:c r="F68" s="56"/>
      <x:c r="G68" s="56"/>
      <x:c r="H68" s="56"/>
      <x:c r="I68" s="56"/>
      <x:c r="J68" s="56"/>
      <x:c r="K68" s="56"/>
      <x:c r="L68" s="56"/>
      <x:c r="M68" s="56"/>
      <x:c r="N68" s="56"/>
      <x:c r="O68" s="56"/>
      <x:c r="P68" s="56"/>
      <x:c r="Q68" s="56"/>
      <x:c r="R68" s="56"/>
      <x:c r="S68" s="56"/>
      <x:c r="T68" s="56"/>
      <x:c r="U68" s="56"/>
      <x:c r="V68" s="56"/>
      <x:c r="W68" s="56"/>
    </x:row>
    <x:row r="69" ht="26" customHeight="1">
      <x:c r="A69" s="56"/>
      <x:c r="B69" s="56"/>
      <x:c r="C69" s="56"/>
      <x:c r="D69" s="56"/>
      <x:c r="E69" s="56"/>
      <x:c r="F69" s="56"/>
      <x:c r="G69" s="56"/>
      <x:c r="H69" s="56"/>
      <x:c r="I69" s="56"/>
      <x:c r="J69" s="56"/>
      <x:c r="K69" s="56"/>
      <x:c r="L69" s="56"/>
      <x:c r="M69" s="56"/>
      <x:c r="N69" s="56"/>
      <x:c r="O69" s="56"/>
      <x:c r="P69" s="56"/>
      <x:c r="Q69" s="56"/>
      <x:c r="R69" s="56"/>
      <x:c r="S69" s="56"/>
      <x:c r="T69" s="56"/>
      <x:c r="U69" s="56"/>
      <x:c r="V69" s="56"/>
      <x:c r="W69" s="56"/>
    </x:row>
    <x:row r="70" ht="26" customHeight="1">
      <x:c r="A70" s="56"/>
      <x:c r="B70" s="56"/>
      <x:c r="C70" s="56"/>
      <x:c r="D70" s="56"/>
      <x:c r="E70" s="56"/>
      <x:c r="F70" s="56"/>
      <x:c r="G70" s="56"/>
      <x:c r="H70" s="56"/>
      <x:c r="I70" s="56"/>
      <x:c r="J70" s="56"/>
      <x:c r="K70" s="56"/>
      <x:c r="L70" s="56"/>
      <x:c r="M70" s="56"/>
      <x:c r="N70" s="56"/>
      <x:c r="O70" s="56"/>
      <x:c r="P70" s="56"/>
      <x:c r="Q70" s="56"/>
      <x:c r="R70" s="56"/>
      <x:c r="S70" s="56"/>
      <x:c r="T70" s="56"/>
      <x:c r="U70" s="56"/>
      <x:c r="V70" s="56"/>
      <x:c r="W70" s="56"/>
    </x:row>
    <x:row r="71" ht="26" customHeight="1">
      <x:c r="A71" s="56"/>
      <x:c r="B71" s="56"/>
      <x:c r="C71" s="56"/>
      <x:c r="D71" s="56"/>
      <x:c r="E71" s="56"/>
      <x:c r="F71" s="56"/>
      <x:c r="G71" s="56"/>
      <x:c r="H71" s="56"/>
      <x:c r="I71" s="56"/>
      <x:c r="J71" s="56"/>
      <x:c r="K71" s="56"/>
      <x:c r="L71" s="56"/>
      <x:c r="M71" s="56"/>
      <x:c r="N71" s="56"/>
      <x:c r="O71" s="56"/>
      <x:c r="P71" s="56"/>
      <x:c r="Q71" s="56"/>
      <x:c r="R71" s="56"/>
      <x:c r="S71" s="56"/>
      <x:c r="T71" s="56"/>
      <x:c r="U71" s="56"/>
      <x:c r="V71" s="56"/>
      <x:c r="W71" s="56"/>
    </x:row>
    <x:row r="72" ht="26" customHeight="1">
      <x:c r="A72" s="56" t="str">
        <x:v>10/8（木）開始の夜勤</x:v>
      </x:c>
      <x:c r="B72" s="56"/>
      <x:c r="C72" s="56"/>
      <x:c r="D72" s="56"/>
      <x:c r="E72" s="56"/>
      <x:c r="F72" s="56"/>
      <x:c r="G72" s="56"/>
      <x:c r="H72" s="56"/>
      <x:c r="I72" s="56"/>
      <x:c r="J72" s="56"/>
      <x:c r="K72" s="56"/>
      <x:c r="L72" s="56"/>
      <x:c r="M72" s="56"/>
      <x:c r="N72" s="56"/>
      <x:c r="O72" s="56"/>
      <x:c r="P72" s="56"/>
      <x:c r="Q72" s="56"/>
      <x:c r="R72" s="56"/>
      <x:c r="S72" s="56"/>
      <x:c r="T72" s="56"/>
      <x:c r="U72" s="56"/>
      <x:c r="V72" s="56"/>
      <x:c r="W72" s="56"/>
    </x:row>
    <x:row r="73" ht="40" customHeight="1">
      <x:c r="A73" s="95" t="str">
        <x:v>職員ID</x:v>
      </x:c>
      <x:c r="B73" s="95" t="str">
        <x:v>基本役割</x:v>
      </x:c>
      <x:c r="C73" s="97" t="n">
        <x:v>46303.875</x:v>
      </x:c>
      <x:c r="D73" s="97" t="n">
        <x:v>46303.895833333336</x:v>
      </x:c>
      <x:c r="E73" s="97" t="n">
        <x:v>46303.916666666664</x:v>
      </x:c>
      <x:c r="F73" s="97" t="n">
        <x:v>46303.9375</x:v>
      </x:c>
      <x:c r="G73" s="97" t="n">
        <x:v>46303.958333333336</x:v>
      </x:c>
      <x:c r="H73" s="97" t="n">
        <x:v>46303.979166666664</x:v>
      </x:c>
      <x:c r="I73" s="97" t="n">
        <x:v>46304</x:v>
      </x:c>
      <x:c r="J73" s="97" t="n">
        <x:v>46304.020833333336</x:v>
      </x:c>
      <x:c r="K73" s="97" t="n">
        <x:v>46304.041666666664</x:v>
      </x:c>
      <x:c r="L73" s="97" t="n">
        <x:v>46304.0625</x:v>
      </x:c>
      <x:c r="M73" s="97" t="n">
        <x:v>46304.083333333336</x:v>
      </x:c>
      <x:c r="N73" s="97" t="n">
        <x:v>46304.104166666664</x:v>
      </x:c>
      <x:c r="O73" s="97" t="n">
        <x:v>46304.125</x:v>
      </x:c>
      <x:c r="P73" s="97" t="n">
        <x:v>46304.145833333336</x:v>
      </x:c>
      <x:c r="Q73" s="97" t="n">
        <x:v>46304.166666666664</x:v>
      </x:c>
      <x:c r="R73" s="97" t="n">
        <x:v>46304.1875</x:v>
      </x:c>
      <x:c r="S73" s="97" t="n">
        <x:v>46304.208333333336</x:v>
      </x:c>
      <x:c r="T73" s="97" t="n">
        <x:v>46304.229166666664</x:v>
      </x:c>
      <x:c r="U73" s="97" t="n">
        <x:v>46304.25</x:v>
      </x:c>
      <x:c r="V73" s="97" t="n">
        <x:v>46304.270833333336</x:v>
      </x:c>
      <x:c r="W73" s="95" t="str">
        <x:v>仮シフト一致</x:v>
      </x:c>
    </x:row>
    <x:row r="74" ht="26" customHeight="1">
      <x:c r="A74" s="56" t="str">
        <x:v>1F-15</x:v>
      </x:c>
      <x:c r="B74" s="56" t="str">
        <x:v>1F</x:v>
      </x:c>
      <x:c r="C74" s="56" t="str">
        <x:v>仮眠</x:v>
      </x:c>
      <x:c r="D74" s="56" t="str">
        <x:v>仮眠</x:v>
      </x:c>
      <x:c r="E74" s="56" t="str">
        <x:v>仮眠</x:v>
      </x:c>
      <x:c r="F74" s="56" t="str">
        <x:v>仮眠</x:v>
      </x:c>
      <x:c r="G74" s="56" t="str">
        <x:v>1F</x:v>
      </x:c>
      <x:c r="H74" s="56" t="str">
        <x:v>1F</x:v>
      </x:c>
      <x:c r="I74" s="56" t="str">
        <x:v>1F</x:v>
      </x:c>
      <x:c r="J74" s="56" t="str">
        <x:v>1F</x:v>
      </x:c>
      <x:c r="K74" s="56" t="str">
        <x:v>1F</x:v>
      </x:c>
      <x:c r="L74" s="56" t="str">
        <x:v>1F</x:v>
      </x:c>
      <x:c r="M74" s="56" t="str">
        <x:v>1F</x:v>
      </x:c>
      <x:c r="N74" s="56" t="str">
        <x:v>1F</x:v>
      </x:c>
      <x:c r="O74" s="56" t="str">
        <x:v>1F</x:v>
      </x:c>
      <x:c r="P74" s="56" t="str">
        <x:v>1F</x:v>
      </x:c>
      <x:c r="Q74" s="56" t="str">
        <x:v>1F</x:v>
      </x:c>
      <x:c r="R74" s="56" t="str">
        <x:v>1F</x:v>
      </x:c>
      <x:c r="S74" s="56" t="str">
        <x:v>1F</x:v>
      </x:c>
      <x:c r="T74" s="56" t="str">
        <x:v>1F</x:v>
      </x:c>
      <x:c r="U74" s="56" t="str">
        <x:v>1F</x:v>
      </x:c>
      <x:c r="V74" s="56" t="str">
        <x:v>1F</x:v>
      </x:c>
      <x:c r="W74" s="56" t="str">
        <x:f>IF(INDEX('週間仮シフト'!G$7:G$78,MATCH(A74,'週間仮シフト'!$A$7:$A$78,0))="夜","一致","不一致")</x:f>
        <x:v>一致</x:v>
      </x:c>
    </x:row>
    <x:row r="75" ht="26" customHeight="1">
      <x:c r="A75" s="56" t="str">
        <x:v>1F-14</x:v>
      </x:c>
      <x:c r="B75" s="56" t="str">
        <x:v>1F</x:v>
      </x:c>
      <x:c r="C75" s="56" t="str">
        <x:v>1F</x:v>
      </x:c>
      <x:c r="D75" s="56" t="str">
        <x:v>1F</x:v>
      </x:c>
      <x:c r="E75" s="56" t="str">
        <x:v>仮眠</x:v>
      </x:c>
      <x:c r="F75" s="56" t="str">
        <x:v>仮眠</x:v>
      </x:c>
      <x:c r="G75" s="56" t="str">
        <x:v>仮眠</x:v>
      </x:c>
      <x:c r="H75" s="56" t="str">
        <x:v>仮眠</x:v>
      </x:c>
      <x:c r="I75" s="56" t="str">
        <x:v>1F</x:v>
      </x:c>
      <x:c r="J75" s="56" t="str">
        <x:v>1F</x:v>
      </x:c>
      <x:c r="K75" s="56" t="str">
        <x:v>1F</x:v>
      </x:c>
      <x:c r="L75" s="56" t="str">
        <x:v>1F</x:v>
      </x:c>
      <x:c r="M75" s="56" t="str">
        <x:v>1F</x:v>
      </x:c>
      <x:c r="N75" s="56" t="str">
        <x:v>1F</x:v>
      </x:c>
      <x:c r="O75" s="56" t="str">
        <x:v>1F</x:v>
      </x:c>
      <x:c r="P75" s="56" t="str">
        <x:v>1F</x:v>
      </x:c>
      <x:c r="Q75" s="56" t="str">
        <x:v>1F</x:v>
      </x:c>
      <x:c r="R75" s="56" t="str">
        <x:v>1F</x:v>
      </x:c>
      <x:c r="S75" s="56" t="str">
        <x:v>1F</x:v>
      </x:c>
      <x:c r="T75" s="56" t="str">
        <x:v>1F</x:v>
      </x:c>
      <x:c r="U75" s="56" t="str">
        <x:v>1F</x:v>
      </x:c>
      <x:c r="V75" s="56" t="str">
        <x:v>1F</x:v>
      </x:c>
      <x:c r="W75" s="56" t="str">
        <x:f>IF(INDEX('週間仮シフト'!G$7:G$78,MATCH(A75,'週間仮シフト'!$A$7:$A$78,0))="夜","一致","不一致")</x:f>
        <x:v>一致</x:v>
      </x:c>
    </x:row>
    <x:row r="76" ht="26" customHeight="1">
      <x:c r="A76" s="56" t="str">
        <x:v>2F-13</x:v>
      </x:c>
      <x:c r="B76" s="56" t="str">
        <x:v>2F</x:v>
      </x:c>
      <x:c r="C76" s="56" t="str">
        <x:v>2F</x:v>
      </x:c>
      <x:c r="D76" s="56" t="str">
        <x:v>2F</x:v>
      </x:c>
      <x:c r="E76" s="56" t="str">
        <x:v>2F</x:v>
      </x:c>
      <x:c r="F76" s="56" t="str">
        <x:v>2F</x:v>
      </x:c>
      <x:c r="G76" s="56" t="str">
        <x:v>仮眠</x:v>
      </x:c>
      <x:c r="H76" s="56" t="str">
        <x:v>仮眠</x:v>
      </x:c>
      <x:c r="I76" s="56" t="str">
        <x:v>仮眠</x:v>
      </x:c>
      <x:c r="J76" s="56" t="str">
        <x:v>仮眠</x:v>
      </x:c>
      <x:c r="K76" s="56" t="str">
        <x:v>2F</x:v>
      </x:c>
      <x:c r="L76" s="56" t="str">
        <x:v>2F</x:v>
      </x:c>
      <x:c r="M76" s="56" t="str">
        <x:v>2F</x:v>
      </x:c>
      <x:c r="N76" s="56" t="str">
        <x:v>2F</x:v>
      </x:c>
      <x:c r="O76" s="56" t="str">
        <x:v>2F</x:v>
      </x:c>
      <x:c r="P76" s="56" t="str">
        <x:v>2F</x:v>
      </x:c>
      <x:c r="Q76" s="56" t="str">
        <x:v>2F</x:v>
      </x:c>
      <x:c r="R76" s="56" t="str">
        <x:v>2F</x:v>
      </x:c>
      <x:c r="S76" s="56" t="str">
        <x:v>2F</x:v>
      </x:c>
      <x:c r="T76" s="56" t="str">
        <x:v>2F</x:v>
      </x:c>
      <x:c r="U76" s="56" t="str">
        <x:v>2F</x:v>
      </x:c>
      <x:c r="V76" s="56" t="str">
        <x:v>2F</x:v>
      </x:c>
      <x:c r="W76" s="56" t="str">
        <x:f>IF(INDEX('週間仮シフト'!G$7:G$78,MATCH(A76,'週間仮シフト'!$A$7:$A$78,0))="夜","一致","不一致")</x:f>
        <x:v>一致</x:v>
      </x:c>
    </x:row>
    <x:row r="77" ht="26" customHeight="1">
      <x:c r="A77" s="56" t="str">
        <x:v>2F-14</x:v>
      </x:c>
      <x:c r="B77" s="56" t="str">
        <x:v>2F</x:v>
      </x:c>
      <x:c r="C77" s="56" t="str">
        <x:v>2F</x:v>
      </x:c>
      <x:c r="D77" s="56" t="str">
        <x:v>2F</x:v>
      </x:c>
      <x:c r="E77" s="56" t="str">
        <x:v>2F</x:v>
      </x:c>
      <x:c r="F77" s="56" t="str">
        <x:v>2F</x:v>
      </x:c>
      <x:c r="G77" s="56" t="str">
        <x:v>2F</x:v>
      </x:c>
      <x:c r="H77" s="56" t="str">
        <x:v>2F</x:v>
      </x:c>
      <x:c r="I77" s="56" t="str">
        <x:v>仮眠</x:v>
      </x:c>
      <x:c r="J77" s="56" t="str">
        <x:v>仮眠</x:v>
      </x:c>
      <x:c r="K77" s="56" t="str">
        <x:v>仮眠</x:v>
      </x:c>
      <x:c r="L77" s="56" t="str">
        <x:v>仮眠</x:v>
      </x:c>
      <x:c r="M77" s="56" t="str">
        <x:v>2F</x:v>
      </x:c>
      <x:c r="N77" s="56" t="str">
        <x:v>2F</x:v>
      </x:c>
      <x:c r="O77" s="56" t="str">
        <x:v>2F</x:v>
      </x:c>
      <x:c r="P77" s="56" t="str">
        <x:v>2F</x:v>
      </x:c>
      <x:c r="Q77" s="56" t="str">
        <x:v>2F</x:v>
      </x:c>
      <x:c r="R77" s="56" t="str">
        <x:v>2F</x:v>
      </x:c>
      <x:c r="S77" s="56" t="str">
        <x:v>2F</x:v>
      </x:c>
      <x:c r="T77" s="56" t="str">
        <x:v>2F</x:v>
      </x:c>
      <x:c r="U77" s="56" t="str">
        <x:v>2F</x:v>
      </x:c>
      <x:c r="V77" s="56" t="str">
        <x:v>2F</x:v>
      </x:c>
      <x:c r="W77" s="56" t="str">
        <x:f>IF(INDEX('週間仮シフト'!G$7:G$78,MATCH(A77,'週間仮シフト'!$A$7:$A$78,0))="夜","一致","不一致")</x:f>
        <x:v>一致</x:v>
      </x:c>
    </x:row>
    <x:row r="78" ht="26" customHeight="1">
      <x:c r="A78" s="56" t="str">
        <x:v>3F-13</x:v>
      </x:c>
      <x:c r="B78" s="56" t="str">
        <x:v>3F</x:v>
      </x:c>
      <x:c r="C78" s="56" t="str">
        <x:v>3F</x:v>
      </x:c>
      <x:c r="D78" s="56" t="str">
        <x:v>3F</x:v>
      </x:c>
      <x:c r="E78" s="56" t="str">
        <x:v>3F</x:v>
      </x:c>
      <x:c r="F78" s="56" t="str">
        <x:v>3F</x:v>
      </x:c>
      <x:c r="G78" s="56" t="str">
        <x:v>3F</x:v>
      </x:c>
      <x:c r="H78" s="56" t="str">
        <x:v>3F</x:v>
      </x:c>
      <x:c r="I78" s="56" t="str">
        <x:v>3F</x:v>
      </x:c>
      <x:c r="J78" s="56" t="str">
        <x:v>3F</x:v>
      </x:c>
      <x:c r="K78" s="56" t="str">
        <x:v>仮眠</x:v>
      </x:c>
      <x:c r="L78" s="56" t="str">
        <x:v>仮眠</x:v>
      </x:c>
      <x:c r="M78" s="56" t="str">
        <x:v>仮眠</x:v>
      </x:c>
      <x:c r="N78" s="56" t="str">
        <x:v>仮眠</x:v>
      </x:c>
      <x:c r="O78" s="56" t="str">
        <x:v>3F</x:v>
      </x:c>
      <x:c r="P78" s="56" t="str">
        <x:v>3F</x:v>
      </x:c>
      <x:c r="Q78" s="56" t="str">
        <x:v>3F</x:v>
      </x:c>
      <x:c r="R78" s="56" t="str">
        <x:v>3F</x:v>
      </x:c>
      <x:c r="S78" s="56" t="str">
        <x:v>3F</x:v>
      </x:c>
      <x:c r="T78" s="56" t="str">
        <x:v>3F</x:v>
      </x:c>
      <x:c r="U78" s="56" t="str">
        <x:v>3F</x:v>
      </x:c>
      <x:c r="V78" s="56" t="str">
        <x:v>3F</x:v>
      </x:c>
      <x:c r="W78" s="56" t="str">
        <x:f>IF(INDEX('週間仮シフト'!G$7:G$78,MATCH(A78,'週間仮シフト'!$A$7:$A$78,0))="夜","一致","不一致")</x:f>
        <x:v>一致</x:v>
      </x:c>
    </x:row>
    <x:row r="79" ht="26" customHeight="1">
      <x:c r="A79" s="56" t="str">
        <x:v>3F-14</x:v>
      </x:c>
      <x:c r="B79" s="56" t="str">
        <x:v>3F</x:v>
      </x:c>
      <x:c r="C79" s="56" t="str">
        <x:v>3F</x:v>
      </x:c>
      <x:c r="D79" s="56" t="str">
        <x:v>3F</x:v>
      </x:c>
      <x:c r="E79" s="56" t="str">
        <x:v>3F</x:v>
      </x:c>
      <x:c r="F79" s="56" t="str">
        <x:v>3F</x:v>
      </x:c>
      <x:c r="G79" s="56" t="str">
        <x:v>3F</x:v>
      </x:c>
      <x:c r="H79" s="56" t="str">
        <x:v>3F</x:v>
      </x:c>
      <x:c r="I79" s="56" t="str">
        <x:v>3F</x:v>
      </x:c>
      <x:c r="J79" s="56" t="str">
        <x:v>3F</x:v>
      </x:c>
      <x:c r="K79" s="56" t="str">
        <x:v>3F</x:v>
      </x:c>
      <x:c r="L79" s="56" t="str">
        <x:v>3F</x:v>
      </x:c>
      <x:c r="M79" s="56" t="str">
        <x:v>仮眠</x:v>
      </x:c>
      <x:c r="N79" s="56" t="str">
        <x:v>仮眠</x:v>
      </x:c>
      <x:c r="O79" s="56" t="str">
        <x:v>仮眠</x:v>
      </x:c>
      <x:c r="P79" s="56" t="str">
        <x:v>仮眠</x:v>
      </x:c>
      <x:c r="Q79" s="56" t="str">
        <x:v>3F</x:v>
      </x:c>
      <x:c r="R79" s="56" t="str">
        <x:v>3F</x:v>
      </x:c>
      <x:c r="S79" s="56" t="str">
        <x:v>3F</x:v>
      </x:c>
      <x:c r="T79" s="56" t="str">
        <x:v>3F</x:v>
      </x:c>
      <x:c r="U79" s="56" t="str">
        <x:v>3F</x:v>
      </x:c>
      <x:c r="V79" s="56" t="str">
        <x:v>3F</x:v>
      </x:c>
      <x:c r="W79" s="56" t="str">
        <x:f>IF(INDEX('週間仮シフト'!G$7:G$78,MATCH(A79,'週間仮シフト'!$A$7:$A$78,0))="夜","一致","不一致")</x:f>
        <x:v>一致</x:v>
      </x:c>
    </x:row>
    <x:row r="80" ht="26" customHeight="1">
      <x:c r="A80" s="56" t="str">
        <x:v>1F-05</x:v>
      </x:c>
      <x:c r="B80" s="56" t="str">
        <x:v>統括</x:v>
      </x:c>
      <x:c r="C80" s="56" t="str">
        <x:v>1F</x:v>
      </x:c>
      <x:c r="D80" s="56" t="str">
        <x:v>1F</x:v>
      </x:c>
      <x:c r="E80" s="56" t="str">
        <x:v>1F</x:v>
      </x:c>
      <x:c r="F80" s="56" t="str">
        <x:v>1F</x:v>
      </x:c>
      <x:c r="G80" s="56" t="str">
        <x:v>2F</x:v>
      </x:c>
      <x:c r="H80" s="56" t="str">
        <x:v>2F</x:v>
      </x:c>
      <x:c r="I80" s="56" t="str">
        <x:v>2F</x:v>
      </x:c>
      <x:c r="J80" s="56" t="str">
        <x:v>2F</x:v>
      </x:c>
      <x:c r="K80" s="56" t="str">
        <x:v>3F</x:v>
      </x:c>
      <x:c r="L80" s="56" t="str">
        <x:v>3F</x:v>
      </x:c>
      <x:c r="M80" s="56" t="str">
        <x:v>3F</x:v>
      </x:c>
      <x:c r="N80" s="56" t="str">
        <x:v>3F</x:v>
      </x:c>
      <x:c r="O80" s="56" t="str">
        <x:v>仮眠</x:v>
      </x:c>
      <x:c r="P80" s="56" t="str">
        <x:v>仮眠</x:v>
      </x:c>
      <x:c r="Q80" s="56" t="str">
        <x:v>仮眠</x:v>
      </x:c>
      <x:c r="R80" s="56" t="str">
        <x:v>仮眠</x:v>
      </x:c>
      <x:c r="S80" s="56" t="str">
        <x:v>統括</x:v>
      </x:c>
      <x:c r="T80" s="56" t="str">
        <x:v>統括</x:v>
      </x:c>
      <x:c r="U80" s="56" t="str">
        <x:v>統括</x:v>
      </x:c>
      <x:c r="V80" s="56" t="str">
        <x:v>統括</x:v>
      </x:c>
      <x:c r="W80" s="56" t="str">
        <x:f>IF(INDEX('週間仮シフト'!G$7:G$78,MATCH(A80,'週間仮シフト'!$A$7:$A$78,0))="統","一致","不一致")</x:f>
        <x:v>一致</x:v>
      </x:c>
    </x:row>
    <x:row r="81" ht="26" customHeight="1">
      <x:c r="A81" s="56" t="str">
        <x:v>1F-06</x:v>
      </x:c>
      <x:c r="B81" s="56" t="str">
        <x:v>統括</x:v>
      </x:c>
      <x:c r="C81" s="56" t="str">
        <x:v>統括</x:v>
      </x:c>
      <x:c r="D81" s="56" t="str">
        <x:v>統括</x:v>
      </x:c>
      <x:c r="E81" s="56" t="str">
        <x:v>統括</x:v>
      </x:c>
      <x:c r="F81" s="56" t="str">
        <x:v>統括</x:v>
      </x:c>
      <x:c r="G81" s="56" t="str">
        <x:v>統括</x:v>
      </x:c>
      <x:c r="H81" s="56" t="str">
        <x:v>統括</x:v>
      </x:c>
      <x:c r="I81" s="56" t="str">
        <x:v>統括</x:v>
      </x:c>
      <x:c r="J81" s="56" t="str">
        <x:v>統括</x:v>
      </x:c>
      <x:c r="K81" s="56" t="str">
        <x:v>統括</x:v>
      </x:c>
      <x:c r="L81" s="56" t="str">
        <x:v>統括</x:v>
      </x:c>
      <x:c r="M81" s="56" t="str">
        <x:v>統括</x:v>
      </x:c>
      <x:c r="N81" s="56" t="str">
        <x:v>統括</x:v>
      </x:c>
      <x:c r="O81" s="56" t="str">
        <x:v>統括</x:v>
      </x:c>
      <x:c r="P81" s="56" t="str">
        <x:v>統括</x:v>
      </x:c>
      <x:c r="Q81" s="56" t="str">
        <x:v>統括</x:v>
      </x:c>
      <x:c r="R81" s="56" t="str">
        <x:v>統括</x:v>
      </x:c>
      <x:c r="S81" s="56" t="str">
        <x:v>仮眠</x:v>
      </x:c>
      <x:c r="T81" s="56" t="str">
        <x:v>仮眠</x:v>
      </x:c>
      <x:c r="U81" s="56" t="str">
        <x:v>仮眠</x:v>
      </x:c>
      <x:c r="V81" s="56" t="str">
        <x:v>仮眠</x:v>
      </x:c>
      <x:c r="W81" s="56" t="str">
        <x:f>IF(INDEX('週間仮シフト'!G$7:G$78,MATCH(A81,'週間仮シフト'!$A$7:$A$78,0))="統","一致","不一致")</x:f>
        <x:v>一致</x:v>
      </x:c>
    </x:row>
    <x:row r="82" ht="26" customHeight="1">
      <x:c r="A82" s="56" t="str">
        <x:v>2F-23</x:v>
      </x:c>
      <x:c r="B82" s="56" t="str">
        <x:v>短時間</x:v>
      </x:c>
      <x:c r="C82" s="56" t="str">
        <x:v>非勤務</x:v>
      </x:c>
      <x:c r="D82" s="56" t="str">
        <x:v>非勤務</x:v>
      </x:c>
      <x:c r="E82" s="56" t="str">
        <x:v>1F</x:v>
      </x:c>
      <x:c r="F82" s="56" t="str">
        <x:v>1F</x:v>
      </x:c>
      <x:c r="G82" s="56" t="str">
        <x:v>1F</x:v>
      </x:c>
      <x:c r="H82" s="56" t="str">
        <x:v>1F</x:v>
      </x:c>
      <x:c r="I82" s="56" t="str">
        <x:v>2F</x:v>
      </x:c>
      <x:c r="J82" s="56" t="str">
        <x:v>2F</x:v>
      </x:c>
      <x:c r="K82" s="56" t="str">
        <x:v>非勤務</x:v>
      </x:c>
      <x:c r="L82" s="56" t="str">
        <x:v>非勤務</x:v>
      </x:c>
      <x:c r="M82" s="56" t="str">
        <x:v>非勤務</x:v>
      </x:c>
      <x:c r="N82" s="56" t="str">
        <x:v>非勤務</x:v>
      </x:c>
      <x:c r="O82" s="56" t="str">
        <x:v>非勤務</x:v>
      </x:c>
      <x:c r="P82" s="56" t="str">
        <x:v>非勤務</x:v>
      </x:c>
      <x:c r="Q82" s="56" t="str">
        <x:v>非勤務</x:v>
      </x:c>
      <x:c r="R82" s="56" t="str">
        <x:v>非勤務</x:v>
      </x:c>
      <x:c r="S82" s="56" t="str">
        <x:v>非勤務</x:v>
      </x:c>
      <x:c r="T82" s="56" t="str">
        <x:v>非勤務</x:v>
      </x:c>
      <x:c r="U82" s="56" t="str">
        <x:v>非勤務</x:v>
      </x:c>
      <x:c r="V82" s="56" t="str">
        <x:v>非勤務</x:v>
      </x:c>
      <x:c r="W82" s="56" t="str">
        <x:f>IF(INDEX('週間仮シフト'!G$7:G$78,MATCH(A82,'週間仮シフト'!$A$7:$A$78,0))="短A","一致","不一致")</x:f>
        <x:v>一致</x:v>
      </x:c>
    </x:row>
    <x:row r="83" ht="26" customHeight="1">
      <x:c r="A83" s="56" t="str">
        <x:v>1F-24</x:v>
      </x:c>
      <x:c r="B83" s="56" t="str">
        <x:v>短時間</x:v>
      </x:c>
      <x:c r="C83" s="56" t="str">
        <x:v>非勤務</x:v>
      </x:c>
      <x:c r="D83" s="56" t="str">
        <x:v>非勤務</x:v>
      </x:c>
      <x:c r="E83" s="56" t="str">
        <x:v>非勤務</x:v>
      </x:c>
      <x:c r="F83" s="56" t="str">
        <x:v>非勤務</x:v>
      </x:c>
      <x:c r="G83" s="56" t="str">
        <x:v>非勤務</x:v>
      </x:c>
      <x:c r="H83" s="56" t="str">
        <x:v>非勤務</x:v>
      </x:c>
      <x:c r="I83" s="56" t="str">
        <x:v>非勤務</x:v>
      </x:c>
      <x:c r="J83" s="56" t="str">
        <x:v>非勤務</x:v>
      </x:c>
      <x:c r="K83" s="56" t="str">
        <x:v>2F</x:v>
      </x:c>
      <x:c r="L83" s="56" t="str">
        <x:v>2F</x:v>
      </x:c>
      <x:c r="M83" s="56" t="str">
        <x:v>3F</x:v>
      </x:c>
      <x:c r="N83" s="56" t="str">
        <x:v>3F</x:v>
      </x:c>
      <x:c r="O83" s="56" t="str">
        <x:v>3F</x:v>
      </x:c>
      <x:c r="P83" s="56" t="str">
        <x:v>3F</x:v>
      </x:c>
      <x:c r="Q83" s="56" t="str">
        <x:v>非勤務</x:v>
      </x:c>
      <x:c r="R83" s="56" t="str">
        <x:v>非勤務</x:v>
      </x:c>
      <x:c r="S83" s="56" t="str">
        <x:v>非勤務</x:v>
      </x:c>
      <x:c r="T83" s="56" t="str">
        <x:v>非勤務</x:v>
      </x:c>
      <x:c r="U83" s="56" t="str">
        <x:v>非勤務</x:v>
      </x:c>
      <x:c r="V83" s="56" t="str">
        <x:v>非勤務</x:v>
      </x:c>
      <x:c r="W83" s="56" t="str">
        <x:f>IF(INDEX('週間仮シフト'!H$7:H$78,MATCH(A83,'週間仮シフト'!$A$7:$A$78,0))="短B","一致","不一致")</x:f>
        <x:v>一致</x:v>
      </x:c>
    </x:row>
    <x:row r="84" ht="26" customHeight="1">
      <x:c r="A84" s="56"/>
      <x:c r="B84" s="56"/>
      <x:c r="C84" s="56"/>
      <x:c r="D84" s="56"/>
      <x:c r="E84" s="56"/>
      <x:c r="F84" s="56"/>
      <x:c r="G84" s="56"/>
      <x:c r="H84" s="56"/>
      <x:c r="I84" s="56"/>
      <x:c r="J84" s="56"/>
      <x:c r="K84" s="56"/>
      <x:c r="L84" s="56"/>
      <x:c r="M84" s="56"/>
      <x:c r="N84" s="56"/>
      <x:c r="O84" s="56"/>
      <x:c r="P84" s="56"/>
      <x:c r="Q84" s="56"/>
      <x:c r="R84" s="56"/>
      <x:c r="S84" s="56"/>
      <x:c r="T84" s="56"/>
      <x:c r="U84" s="56"/>
      <x:c r="V84" s="56"/>
      <x:c r="W84" s="56"/>
    </x:row>
    <x:row r="85" ht="26" customHeight="1">
      <x:c r="A85" s="56" t="str">
        <x:v>1F対応中</x:v>
      </x:c>
      <x:c r="B85" s="56" t="n">
        <x:f>'施設設定'!H17</x:f>
        <x:v>2</x:v>
      </x:c>
      <x:c r="C85" s="56" t="n">
        <x:f>COUNTIFS(C74:C83,"1F",$W74:$W83,"一致")</x:f>
        <x:v>2</x:v>
      </x:c>
      <x:c r="D85" s="56" t="n">
        <x:f>COUNTIFS(D74:D83,"1F",$W74:$W83,"一致")</x:f>
        <x:v>2</x:v>
      </x:c>
      <x:c r="E85" s="56" t="n">
        <x:f>COUNTIFS(E74:E83,"1F",$W74:$W83,"一致")</x:f>
        <x:v>2</x:v>
      </x:c>
      <x:c r="F85" s="56" t="n">
        <x:f>COUNTIFS(F74:F83,"1F",$W74:$W83,"一致")</x:f>
        <x:v>2</x:v>
      </x:c>
      <x:c r="G85" s="56" t="n">
        <x:f>COUNTIFS(G74:G83,"1F",$W74:$W83,"一致")</x:f>
        <x:v>2</x:v>
      </x:c>
      <x:c r="H85" s="56" t="n">
        <x:f>COUNTIFS(H74:H83,"1F",$W74:$W83,"一致")</x:f>
        <x:v>2</x:v>
      </x:c>
      <x:c r="I85" s="56" t="n">
        <x:f>COUNTIFS(I74:I83,"1F",$W74:$W83,"一致")</x:f>
        <x:v>2</x:v>
      </x:c>
      <x:c r="J85" s="56" t="n">
        <x:f>COUNTIFS(J74:J83,"1F",$W74:$W83,"一致")</x:f>
        <x:v>2</x:v>
      </x:c>
      <x:c r="K85" s="56" t="n">
        <x:f>COUNTIFS(K74:K83,"1F",$W74:$W83,"一致")</x:f>
        <x:v>2</x:v>
      </x:c>
      <x:c r="L85" s="56" t="n">
        <x:f>COUNTIFS(L74:L83,"1F",$W74:$W83,"一致")</x:f>
        <x:v>2</x:v>
      </x:c>
      <x:c r="M85" s="56" t="n">
        <x:f>COUNTIFS(M74:M83,"1F",$W74:$W83,"一致")</x:f>
        <x:v>2</x:v>
      </x:c>
      <x:c r="N85" s="56" t="n">
        <x:f>COUNTIFS(N74:N83,"1F",$W74:$W83,"一致")</x:f>
        <x:v>2</x:v>
      </x:c>
      <x:c r="O85" s="56" t="n">
        <x:f>COUNTIFS(O74:O83,"1F",$W74:$W83,"一致")</x:f>
        <x:v>2</x:v>
      </x:c>
      <x:c r="P85" s="56" t="n">
        <x:f>COUNTIFS(P74:P83,"1F",$W74:$W83,"一致")</x:f>
        <x:v>2</x:v>
      </x:c>
      <x:c r="Q85" s="56" t="n">
        <x:f>COUNTIFS(Q74:Q83,"1F",$W74:$W83,"一致")</x:f>
        <x:v>2</x:v>
      </x:c>
      <x:c r="R85" s="56" t="n">
        <x:f>COUNTIFS(R74:R83,"1F",$W74:$W83,"一致")</x:f>
        <x:v>2</x:v>
      </x:c>
      <x:c r="S85" s="56" t="n">
        <x:f>COUNTIFS(S74:S83,"1F",$W74:$W83,"一致")</x:f>
        <x:v>2</x:v>
      </x:c>
      <x:c r="T85" s="56" t="n">
        <x:f>COUNTIFS(T74:T83,"1F",$W74:$W83,"一致")</x:f>
        <x:v>2</x:v>
      </x:c>
      <x:c r="U85" s="56" t="n">
        <x:f>COUNTIFS(U74:U83,"1F",$W74:$W83,"一致")</x:f>
        <x:v>2</x:v>
      </x:c>
      <x:c r="V85" s="56" t="n">
        <x:f>COUNTIFS(V74:V83,"1F",$W74:$W83,"一致")</x:f>
        <x:v>2</x:v>
      </x:c>
      <x:c r="W85" s="56"/>
    </x:row>
    <x:row r="86" ht="26" customHeight="1">
      <x:c r="A86" s="56" t="str">
        <x:v>2F対応中</x:v>
      </x:c>
      <x:c r="B86" s="56" t="n">
        <x:f>'施設設定'!H18</x:f>
        <x:v>2</x:v>
      </x:c>
      <x:c r="C86" s="56" t="n">
        <x:f>COUNTIFS(C74:C83,"2F",$W74:$W83,"一致")</x:f>
        <x:v>2</x:v>
      </x:c>
      <x:c r="D86" s="56" t="n">
        <x:f>COUNTIFS(D74:D83,"2F",$W74:$W83,"一致")</x:f>
        <x:v>2</x:v>
      </x:c>
      <x:c r="E86" s="56" t="n">
        <x:f>COUNTIFS(E74:E83,"2F",$W74:$W83,"一致")</x:f>
        <x:v>2</x:v>
      </x:c>
      <x:c r="F86" s="56" t="n">
        <x:f>COUNTIFS(F74:F83,"2F",$W74:$W83,"一致")</x:f>
        <x:v>2</x:v>
      </x:c>
      <x:c r="G86" s="56" t="n">
        <x:f>COUNTIFS(G74:G83,"2F",$W74:$W83,"一致")</x:f>
        <x:v>2</x:v>
      </x:c>
      <x:c r="H86" s="56" t="n">
        <x:f>COUNTIFS(H74:H83,"2F",$W74:$W83,"一致")</x:f>
        <x:v>2</x:v>
      </x:c>
      <x:c r="I86" s="56" t="n">
        <x:f>COUNTIFS(I74:I83,"2F",$W74:$W83,"一致")</x:f>
        <x:v>2</x:v>
      </x:c>
      <x:c r="J86" s="56" t="n">
        <x:f>COUNTIFS(J74:J83,"2F",$W74:$W83,"一致")</x:f>
        <x:v>2</x:v>
      </x:c>
      <x:c r="K86" s="56" t="n">
        <x:f>COUNTIFS(K74:K83,"2F",$W74:$W83,"一致")</x:f>
        <x:v>2</x:v>
      </x:c>
      <x:c r="L86" s="56" t="n">
        <x:f>COUNTIFS(L74:L83,"2F",$W74:$W83,"一致")</x:f>
        <x:v>2</x:v>
      </x:c>
      <x:c r="M86" s="56" t="n">
        <x:f>COUNTIFS(M74:M83,"2F",$W74:$W83,"一致")</x:f>
        <x:v>2</x:v>
      </x:c>
      <x:c r="N86" s="56" t="n">
        <x:f>COUNTIFS(N74:N83,"2F",$W74:$W83,"一致")</x:f>
        <x:v>2</x:v>
      </x:c>
      <x:c r="O86" s="56" t="n">
        <x:f>COUNTIFS(O74:O83,"2F",$W74:$W83,"一致")</x:f>
        <x:v>2</x:v>
      </x:c>
      <x:c r="P86" s="56" t="n">
        <x:f>COUNTIFS(P74:P83,"2F",$W74:$W83,"一致")</x:f>
        <x:v>2</x:v>
      </x:c>
      <x:c r="Q86" s="56" t="n">
        <x:f>COUNTIFS(Q74:Q83,"2F",$W74:$W83,"一致")</x:f>
        <x:v>2</x:v>
      </x:c>
      <x:c r="R86" s="56" t="n">
        <x:f>COUNTIFS(R74:R83,"2F",$W74:$W83,"一致")</x:f>
        <x:v>2</x:v>
      </x:c>
      <x:c r="S86" s="56" t="n">
        <x:f>COUNTIFS(S74:S83,"2F",$W74:$W83,"一致")</x:f>
        <x:v>2</x:v>
      </x:c>
      <x:c r="T86" s="56" t="n">
        <x:f>COUNTIFS(T74:T83,"2F",$W74:$W83,"一致")</x:f>
        <x:v>2</x:v>
      </x:c>
      <x:c r="U86" s="56" t="n">
        <x:f>COUNTIFS(U74:U83,"2F",$W74:$W83,"一致")</x:f>
        <x:v>2</x:v>
      </x:c>
      <x:c r="V86" s="56" t="n">
        <x:f>COUNTIFS(V74:V83,"2F",$W74:$W83,"一致")</x:f>
        <x:v>2</x:v>
      </x:c>
      <x:c r="W86" s="56"/>
    </x:row>
    <x:row r="87" ht="26" customHeight="1">
      <x:c r="A87" s="56" t="str">
        <x:v>3F対応中</x:v>
      </x:c>
      <x:c r="B87" s="56" t="n">
        <x:f>'施設設定'!H19</x:f>
        <x:v>2</x:v>
      </x:c>
      <x:c r="C87" s="56" t="n">
        <x:f>COUNTIFS(C74:C83,"3F",$W74:$W83,"一致")</x:f>
        <x:v>2</x:v>
      </x:c>
      <x:c r="D87" s="56" t="n">
        <x:f>COUNTIFS(D74:D83,"3F",$W74:$W83,"一致")</x:f>
        <x:v>2</x:v>
      </x:c>
      <x:c r="E87" s="56" t="n">
        <x:f>COUNTIFS(E74:E83,"3F",$W74:$W83,"一致")</x:f>
        <x:v>2</x:v>
      </x:c>
      <x:c r="F87" s="56" t="n">
        <x:f>COUNTIFS(F74:F83,"3F",$W74:$W83,"一致")</x:f>
        <x:v>2</x:v>
      </x:c>
      <x:c r="G87" s="56" t="n">
        <x:f>COUNTIFS(G74:G83,"3F",$W74:$W83,"一致")</x:f>
        <x:v>2</x:v>
      </x:c>
      <x:c r="H87" s="56" t="n">
        <x:f>COUNTIFS(H74:H83,"3F",$W74:$W83,"一致")</x:f>
        <x:v>2</x:v>
      </x:c>
      <x:c r="I87" s="56" t="n">
        <x:f>COUNTIFS(I74:I83,"3F",$W74:$W83,"一致")</x:f>
        <x:v>2</x:v>
      </x:c>
      <x:c r="J87" s="56" t="n">
        <x:f>COUNTIFS(J74:J83,"3F",$W74:$W83,"一致")</x:f>
        <x:v>2</x:v>
      </x:c>
      <x:c r="K87" s="56" t="n">
        <x:f>COUNTIFS(K74:K83,"3F",$W74:$W83,"一致")</x:f>
        <x:v>2</x:v>
      </x:c>
      <x:c r="L87" s="56" t="n">
        <x:f>COUNTIFS(L74:L83,"3F",$W74:$W83,"一致")</x:f>
        <x:v>2</x:v>
      </x:c>
      <x:c r="M87" s="56" t="n">
        <x:f>COUNTIFS(M74:M83,"3F",$W74:$W83,"一致")</x:f>
        <x:v>2</x:v>
      </x:c>
      <x:c r="N87" s="56" t="n">
        <x:f>COUNTIFS(N74:N83,"3F",$W74:$W83,"一致")</x:f>
        <x:v>2</x:v>
      </x:c>
      <x:c r="O87" s="56" t="n">
        <x:f>COUNTIFS(O74:O83,"3F",$W74:$W83,"一致")</x:f>
        <x:v>2</x:v>
      </x:c>
      <x:c r="P87" s="56" t="n">
        <x:f>COUNTIFS(P74:P83,"3F",$W74:$W83,"一致")</x:f>
        <x:v>2</x:v>
      </x:c>
      <x:c r="Q87" s="56" t="n">
        <x:f>COUNTIFS(Q74:Q83,"3F",$W74:$W83,"一致")</x:f>
        <x:v>2</x:v>
      </x:c>
      <x:c r="R87" s="56" t="n">
        <x:f>COUNTIFS(R74:R83,"3F",$W74:$W83,"一致")</x:f>
        <x:v>2</x:v>
      </x:c>
      <x:c r="S87" s="56" t="n">
        <x:f>COUNTIFS(S74:S83,"3F",$W74:$W83,"一致")</x:f>
        <x:v>2</x:v>
      </x:c>
      <x:c r="T87" s="56" t="n">
        <x:f>COUNTIFS(T74:T83,"3F",$W74:$W83,"一致")</x:f>
        <x:v>2</x:v>
      </x:c>
      <x:c r="U87" s="56" t="n">
        <x:f>COUNTIFS(U74:U83,"3F",$W74:$W83,"一致")</x:f>
        <x:v>2</x:v>
      </x:c>
      <x:c r="V87" s="56" t="n">
        <x:f>COUNTIFS(V74:V83,"3F",$W74:$W83,"一致")</x:f>
        <x:v>2</x:v>
      </x:c>
      <x:c r="W87" s="56"/>
    </x:row>
    <x:row r="88" ht="26" customHeight="1">
      <x:c r="A88" s="56" t="str">
        <x:v>自由な統括</x:v>
      </x:c>
      <x:c r="B88" s="56" t="n">
        <x:f>'施設設定'!B12</x:f>
        <x:v>1</x:v>
      </x:c>
      <x:c r="C88" s="56" t="n">
        <x:f>COUNTIFS(C74:C83,"統括",$W74:$W83,"一致")</x:f>
        <x:v>1</x:v>
      </x:c>
      <x:c r="D88" s="56" t="n">
        <x:f>COUNTIFS(D74:D83,"統括",$W74:$W83,"一致")</x:f>
        <x:v>1</x:v>
      </x:c>
      <x:c r="E88" s="56" t="n">
        <x:f>COUNTIFS(E74:E83,"統括",$W74:$W83,"一致")</x:f>
        <x:v>1</x:v>
      </x:c>
      <x:c r="F88" s="56" t="n">
        <x:f>COUNTIFS(F74:F83,"統括",$W74:$W83,"一致")</x:f>
        <x:v>1</x:v>
      </x:c>
      <x:c r="G88" s="56" t="n">
        <x:f>COUNTIFS(G74:G83,"統括",$W74:$W83,"一致")</x:f>
        <x:v>1</x:v>
      </x:c>
      <x:c r="H88" s="56" t="n">
        <x:f>COUNTIFS(H74:H83,"統括",$W74:$W83,"一致")</x:f>
        <x:v>1</x:v>
      </x:c>
      <x:c r="I88" s="56" t="n">
        <x:f>COUNTIFS(I74:I83,"統括",$W74:$W83,"一致")</x:f>
        <x:v>1</x:v>
      </x:c>
      <x:c r="J88" s="56" t="n">
        <x:f>COUNTIFS(J74:J83,"統括",$W74:$W83,"一致")</x:f>
        <x:v>1</x:v>
      </x:c>
      <x:c r="K88" s="56" t="n">
        <x:f>COUNTIFS(K74:K83,"統括",$W74:$W83,"一致")</x:f>
        <x:v>1</x:v>
      </x:c>
      <x:c r="L88" s="56" t="n">
        <x:f>COUNTIFS(L74:L83,"統括",$W74:$W83,"一致")</x:f>
        <x:v>1</x:v>
      </x:c>
      <x:c r="M88" s="56" t="n">
        <x:f>COUNTIFS(M74:M83,"統括",$W74:$W83,"一致")</x:f>
        <x:v>1</x:v>
      </x:c>
      <x:c r="N88" s="56" t="n">
        <x:f>COUNTIFS(N74:N83,"統括",$W74:$W83,"一致")</x:f>
        <x:v>1</x:v>
      </x:c>
      <x:c r="O88" s="56" t="n">
        <x:f>COUNTIFS(O74:O83,"統括",$W74:$W83,"一致")</x:f>
        <x:v>1</x:v>
      </x:c>
      <x:c r="P88" s="56" t="n">
        <x:f>COUNTIFS(P74:P83,"統括",$W74:$W83,"一致")</x:f>
        <x:v>1</x:v>
      </x:c>
      <x:c r="Q88" s="56" t="n">
        <x:f>COUNTIFS(Q74:Q83,"統括",$W74:$W83,"一致")</x:f>
        <x:v>1</x:v>
      </x:c>
      <x:c r="R88" s="56" t="n">
        <x:f>COUNTIFS(R74:R83,"統括",$W74:$W83,"一致")</x:f>
        <x:v>1</x:v>
      </x:c>
      <x:c r="S88" s="56" t="n">
        <x:f>COUNTIFS(S74:S83,"統括",$W74:$W83,"一致")</x:f>
        <x:v>1</x:v>
      </x:c>
      <x:c r="T88" s="56" t="n">
        <x:f>COUNTIFS(T74:T83,"統括",$W74:$W83,"一致")</x:f>
        <x:v>1</x:v>
      </x:c>
      <x:c r="U88" s="56" t="n">
        <x:f>COUNTIFS(U74:U83,"統括",$W74:$W83,"一致")</x:f>
        <x:v>1</x:v>
      </x:c>
      <x:c r="V88" s="56" t="n">
        <x:f>COUNTIFS(V74:V83,"統括",$W74:$W83,"一致")</x:f>
        <x:v>1</x:v>
      </x:c>
      <x:c r="W88" s="56"/>
    </x:row>
    <x:row r="89" ht="26" customHeight="1">
      <x:c r="A89" s="56" t="str">
        <x:v>配置判定</x:v>
      </x:c>
      <x:c r="B89" s="56"/>
      <x:c r="C89" s="56" t="str">
        <x:f>IF(AND(C85&gt;=$B85,C86&gt;=$B86,C87&gt;=$B87,C88&gt;=$B88),"充足","不足")</x:f>
        <x:v>充足</x:v>
      </x:c>
      <x:c r="D89" s="56" t="str">
        <x:f>IF(AND(D85&gt;=$B85,D86&gt;=$B86,D87&gt;=$B87,D88&gt;=$B88),"充足","不足")</x:f>
        <x:v>充足</x:v>
      </x:c>
      <x:c r="E89" s="56" t="str">
        <x:f>IF(AND(E85&gt;=$B85,E86&gt;=$B86,E87&gt;=$B87,E88&gt;=$B88),"充足","不足")</x:f>
        <x:v>充足</x:v>
      </x:c>
      <x:c r="F89" s="56" t="str">
        <x:f>IF(AND(F85&gt;=$B85,F86&gt;=$B86,F87&gt;=$B87,F88&gt;=$B88),"充足","不足")</x:f>
        <x:v>充足</x:v>
      </x:c>
      <x:c r="G89" s="56" t="str">
        <x:f>IF(AND(G85&gt;=$B85,G86&gt;=$B86,G87&gt;=$B87,G88&gt;=$B88),"充足","不足")</x:f>
        <x:v>充足</x:v>
      </x:c>
      <x:c r="H89" s="56" t="str">
        <x:f>IF(AND(H85&gt;=$B85,H86&gt;=$B86,H87&gt;=$B87,H88&gt;=$B88),"充足","不足")</x:f>
        <x:v>充足</x:v>
      </x:c>
      <x:c r="I89" s="56" t="str">
        <x:f>IF(AND(I85&gt;=$B85,I86&gt;=$B86,I87&gt;=$B87,I88&gt;=$B88),"充足","不足")</x:f>
        <x:v>充足</x:v>
      </x:c>
      <x:c r="J89" s="56" t="str">
        <x:f>IF(AND(J85&gt;=$B85,J86&gt;=$B86,J87&gt;=$B87,J88&gt;=$B88),"充足","不足")</x:f>
        <x:v>充足</x:v>
      </x:c>
      <x:c r="K89" s="56" t="str">
        <x:f>IF(AND(K85&gt;=$B85,K86&gt;=$B86,K87&gt;=$B87,K88&gt;=$B88),"充足","不足")</x:f>
        <x:v>充足</x:v>
      </x:c>
      <x:c r="L89" s="56" t="str">
        <x:f>IF(AND(L85&gt;=$B85,L86&gt;=$B86,L87&gt;=$B87,L88&gt;=$B88),"充足","不足")</x:f>
        <x:v>充足</x:v>
      </x:c>
      <x:c r="M89" s="56" t="str">
        <x:f>IF(AND(M85&gt;=$B85,M86&gt;=$B86,M87&gt;=$B87,M88&gt;=$B88),"充足","不足")</x:f>
        <x:v>充足</x:v>
      </x:c>
      <x:c r="N89" s="56" t="str">
        <x:f>IF(AND(N85&gt;=$B85,N86&gt;=$B86,N87&gt;=$B87,N88&gt;=$B88),"充足","不足")</x:f>
        <x:v>充足</x:v>
      </x:c>
      <x:c r="O89" s="56" t="str">
        <x:f>IF(AND(O85&gt;=$B85,O86&gt;=$B86,O87&gt;=$B87,O88&gt;=$B88),"充足","不足")</x:f>
        <x:v>充足</x:v>
      </x:c>
      <x:c r="P89" s="56" t="str">
        <x:f>IF(AND(P85&gt;=$B85,P86&gt;=$B86,P87&gt;=$B87,P88&gt;=$B88),"充足","不足")</x:f>
        <x:v>充足</x:v>
      </x:c>
      <x:c r="Q89" s="56" t="str">
        <x:f>IF(AND(Q85&gt;=$B85,Q86&gt;=$B86,Q87&gt;=$B87,Q88&gt;=$B88),"充足","不足")</x:f>
        <x:v>充足</x:v>
      </x:c>
      <x:c r="R89" s="56" t="str">
        <x:f>IF(AND(R85&gt;=$B85,R86&gt;=$B86,R87&gt;=$B87,R88&gt;=$B88),"充足","不足")</x:f>
        <x:v>充足</x:v>
      </x:c>
      <x:c r="S89" s="56" t="str">
        <x:f>IF(AND(S85&gt;=$B85,S86&gt;=$B86,S87&gt;=$B87,S88&gt;=$B88),"充足","不足")</x:f>
        <x:v>充足</x:v>
      </x:c>
      <x:c r="T89" s="56" t="str">
        <x:f>IF(AND(T85&gt;=$B85,T86&gt;=$B86,T87&gt;=$B87,T88&gt;=$B88),"充足","不足")</x:f>
        <x:v>充足</x:v>
      </x:c>
      <x:c r="U89" s="56" t="str">
        <x:f>IF(AND(U85&gt;=$B85,U86&gt;=$B86,U87&gt;=$B87,U88&gt;=$B88),"充足","不足")</x:f>
        <x:v>充足</x:v>
      </x:c>
      <x:c r="V89" s="56" t="str">
        <x:f>IF(AND(V85&gt;=$B85,V86&gt;=$B86,V87&gt;=$B87,V88&gt;=$B88),"充足","不足")</x:f>
        <x:v>充足</x:v>
      </x:c>
      <x:c r="W89" s="56"/>
    </x:row>
    <x:row r="90" ht="26" customHeight="1">
      <x:c r="A90" s="56"/>
      <x:c r="B90" s="56"/>
      <x:c r="C90" s="56"/>
      <x:c r="D90" s="56"/>
      <x:c r="E90" s="56"/>
      <x:c r="F90" s="56"/>
      <x:c r="G90" s="56"/>
      <x:c r="H90" s="56"/>
      <x:c r="I90" s="56"/>
      <x:c r="J90" s="56"/>
      <x:c r="K90" s="56"/>
      <x:c r="L90" s="56"/>
      <x:c r="M90" s="56"/>
      <x:c r="N90" s="56"/>
      <x:c r="O90" s="56"/>
      <x:c r="P90" s="56"/>
      <x:c r="Q90" s="56"/>
      <x:c r="R90" s="56"/>
      <x:c r="S90" s="56"/>
      <x:c r="T90" s="56"/>
      <x:c r="U90" s="56"/>
      <x:c r="V90" s="56"/>
      <x:c r="W90" s="56"/>
    </x:row>
    <x:row r="91" ht="26" customHeight="1">
      <x:c r="A91" s="56"/>
      <x:c r="B91" s="56"/>
      <x:c r="C91" s="56"/>
      <x:c r="D91" s="56"/>
      <x:c r="E91" s="56"/>
      <x:c r="F91" s="56"/>
      <x:c r="G91" s="56"/>
      <x:c r="H91" s="56"/>
      <x:c r="I91" s="56"/>
      <x:c r="J91" s="56"/>
      <x:c r="K91" s="56"/>
      <x:c r="L91" s="56"/>
      <x:c r="M91" s="56"/>
      <x:c r="N91" s="56"/>
      <x:c r="O91" s="56"/>
      <x:c r="P91" s="56"/>
      <x:c r="Q91" s="56"/>
      <x:c r="R91" s="56"/>
      <x:c r="S91" s="56"/>
      <x:c r="T91" s="56"/>
      <x:c r="U91" s="56"/>
      <x:c r="V91" s="56"/>
      <x:c r="W91" s="56"/>
    </x:row>
    <x:row r="92" ht="26" customHeight="1">
      <x:c r="A92" s="56"/>
      <x:c r="B92" s="56"/>
      <x:c r="C92" s="56"/>
      <x:c r="D92" s="56"/>
      <x:c r="E92" s="56"/>
      <x:c r="F92" s="56"/>
      <x:c r="G92" s="56"/>
      <x:c r="H92" s="56"/>
      <x:c r="I92" s="56"/>
      <x:c r="J92" s="56"/>
      <x:c r="K92" s="56"/>
      <x:c r="L92" s="56"/>
      <x:c r="M92" s="56"/>
      <x:c r="N92" s="56"/>
      <x:c r="O92" s="56"/>
      <x:c r="P92" s="56"/>
      <x:c r="Q92" s="56"/>
      <x:c r="R92" s="56"/>
      <x:c r="S92" s="56"/>
      <x:c r="T92" s="56"/>
      <x:c r="U92" s="56"/>
      <x:c r="V92" s="56"/>
      <x:c r="W92" s="56"/>
    </x:row>
    <x:row r="93" ht="26" customHeight="1">
      <x:c r="A93" s="56"/>
      <x:c r="B93" s="56"/>
      <x:c r="C93" s="56"/>
      <x:c r="D93" s="56"/>
      <x:c r="E93" s="56"/>
      <x:c r="F93" s="56"/>
      <x:c r="G93" s="56"/>
      <x:c r="H93" s="56"/>
      <x:c r="I93" s="56"/>
      <x:c r="J93" s="56"/>
      <x:c r="K93" s="56"/>
      <x:c r="L93" s="56"/>
      <x:c r="M93" s="56"/>
      <x:c r="N93" s="56"/>
      <x:c r="O93" s="56"/>
      <x:c r="P93" s="56"/>
      <x:c r="Q93" s="56"/>
      <x:c r="R93" s="56"/>
      <x:c r="S93" s="56"/>
      <x:c r="T93" s="56"/>
      <x:c r="U93" s="56"/>
      <x:c r="V93" s="56"/>
      <x:c r="W93" s="56"/>
    </x:row>
    <x:row r="94" ht="26" customHeight="1">
      <x:c r="A94" s="56" t="str">
        <x:v>10/9（金）開始の夜勤</x:v>
      </x:c>
      <x:c r="B94" s="56"/>
      <x:c r="C94" s="56"/>
      <x:c r="D94" s="56"/>
      <x:c r="E94" s="56"/>
      <x:c r="F94" s="56"/>
      <x:c r="G94" s="56"/>
      <x:c r="H94" s="56"/>
      <x:c r="I94" s="56"/>
      <x:c r="J94" s="56"/>
      <x:c r="K94" s="56"/>
      <x:c r="L94" s="56"/>
      <x:c r="M94" s="56"/>
      <x:c r="N94" s="56"/>
      <x:c r="O94" s="56"/>
      <x:c r="P94" s="56"/>
      <x:c r="Q94" s="56"/>
      <x:c r="R94" s="56"/>
      <x:c r="S94" s="56"/>
      <x:c r="T94" s="56"/>
      <x:c r="U94" s="56"/>
      <x:c r="V94" s="56"/>
      <x:c r="W94" s="56"/>
    </x:row>
    <x:row r="95" ht="40" customHeight="1">
      <x:c r="A95" s="95" t="str">
        <x:v>職員ID</x:v>
      </x:c>
      <x:c r="B95" s="95" t="str">
        <x:v>基本役割</x:v>
      </x:c>
      <x:c r="C95" s="97" t="n">
        <x:v>46304.875</x:v>
      </x:c>
      <x:c r="D95" s="97" t="n">
        <x:v>46304.895833333336</x:v>
      </x:c>
      <x:c r="E95" s="97" t="n">
        <x:v>46304.916666666664</x:v>
      </x:c>
      <x:c r="F95" s="97" t="n">
        <x:v>46304.9375</x:v>
      </x:c>
      <x:c r="G95" s="97" t="n">
        <x:v>46304.958333333336</x:v>
      </x:c>
      <x:c r="H95" s="97" t="n">
        <x:v>46304.979166666664</x:v>
      </x:c>
      <x:c r="I95" s="97" t="n">
        <x:v>46305</x:v>
      </x:c>
      <x:c r="J95" s="97" t="n">
        <x:v>46305.020833333336</x:v>
      </x:c>
      <x:c r="K95" s="97" t="n">
        <x:v>46305.041666666664</x:v>
      </x:c>
      <x:c r="L95" s="97" t="n">
        <x:v>46305.0625</x:v>
      </x:c>
      <x:c r="M95" s="97" t="n">
        <x:v>46305.083333333336</x:v>
      </x:c>
      <x:c r="N95" s="97" t="n">
        <x:v>46305.104166666664</x:v>
      </x:c>
      <x:c r="O95" s="97" t="n">
        <x:v>46305.125</x:v>
      </x:c>
      <x:c r="P95" s="97" t="n">
        <x:v>46305.145833333336</x:v>
      </x:c>
      <x:c r="Q95" s="97" t="n">
        <x:v>46305.166666666664</x:v>
      </x:c>
      <x:c r="R95" s="97" t="n">
        <x:v>46305.1875</x:v>
      </x:c>
      <x:c r="S95" s="97" t="n">
        <x:v>46305.208333333336</x:v>
      </x:c>
      <x:c r="T95" s="97" t="n">
        <x:v>46305.229166666664</x:v>
      </x:c>
      <x:c r="U95" s="97" t="n">
        <x:v>46305.25</x:v>
      </x:c>
      <x:c r="V95" s="97" t="n">
        <x:v>46305.270833333336</x:v>
      </x:c>
      <x:c r="W95" s="95" t="str">
        <x:v>仮シフト一致</x:v>
      </x:c>
    </x:row>
    <x:row r="96" ht="26" customHeight="1">
      <x:c r="A96" s="56" t="str">
        <x:v>1F-11</x:v>
      </x:c>
      <x:c r="B96" s="56" t="str">
        <x:v>1F</x:v>
      </x:c>
      <x:c r="C96" s="56" t="str">
        <x:v>仮眠</x:v>
      </x:c>
      <x:c r="D96" s="56" t="str">
        <x:v>仮眠</x:v>
      </x:c>
      <x:c r="E96" s="56" t="str">
        <x:v>仮眠</x:v>
      </x:c>
      <x:c r="F96" s="56" t="str">
        <x:v>仮眠</x:v>
      </x:c>
      <x:c r="G96" s="56" t="str">
        <x:v>1F</x:v>
      </x:c>
      <x:c r="H96" s="56" t="str">
        <x:v>1F</x:v>
      </x:c>
      <x:c r="I96" s="56" t="str">
        <x:v>1F</x:v>
      </x:c>
      <x:c r="J96" s="56" t="str">
        <x:v>1F</x:v>
      </x:c>
      <x:c r="K96" s="56" t="str">
        <x:v>1F</x:v>
      </x:c>
      <x:c r="L96" s="56" t="str">
        <x:v>1F</x:v>
      </x:c>
      <x:c r="M96" s="56" t="str">
        <x:v>1F</x:v>
      </x:c>
      <x:c r="N96" s="56" t="str">
        <x:v>1F</x:v>
      </x:c>
      <x:c r="O96" s="56" t="str">
        <x:v>1F</x:v>
      </x:c>
      <x:c r="P96" s="56" t="str">
        <x:v>1F</x:v>
      </x:c>
      <x:c r="Q96" s="56" t="str">
        <x:v>1F</x:v>
      </x:c>
      <x:c r="R96" s="56" t="str">
        <x:v>1F</x:v>
      </x:c>
      <x:c r="S96" s="56" t="str">
        <x:v>1F</x:v>
      </x:c>
      <x:c r="T96" s="56" t="str">
        <x:v>1F</x:v>
      </x:c>
      <x:c r="U96" s="56" t="str">
        <x:v>1F</x:v>
      </x:c>
      <x:c r="V96" s="56" t="str">
        <x:v>1F</x:v>
      </x:c>
      <x:c r="W96" s="56" t="str">
        <x:f>IF(INDEX('週間仮シフト'!H$7:H$78,MATCH(A96,'週間仮シフト'!$A$7:$A$78,0))="夜","一致","不一致")</x:f>
        <x:v>一致</x:v>
      </x:c>
    </x:row>
    <x:row r="97" ht="26" customHeight="1">
      <x:c r="A97" s="56" t="str">
        <x:v>1F-12</x:v>
      </x:c>
      <x:c r="B97" s="56" t="str">
        <x:v>1F</x:v>
      </x:c>
      <x:c r="C97" s="56" t="str">
        <x:v>1F</x:v>
      </x:c>
      <x:c r="D97" s="56" t="str">
        <x:v>1F</x:v>
      </x:c>
      <x:c r="E97" s="56" t="str">
        <x:v>仮眠</x:v>
      </x:c>
      <x:c r="F97" s="56" t="str">
        <x:v>仮眠</x:v>
      </x:c>
      <x:c r="G97" s="56" t="str">
        <x:v>仮眠</x:v>
      </x:c>
      <x:c r="H97" s="56" t="str">
        <x:v>仮眠</x:v>
      </x:c>
      <x:c r="I97" s="56" t="str">
        <x:v>1F</x:v>
      </x:c>
      <x:c r="J97" s="56" t="str">
        <x:v>1F</x:v>
      </x:c>
      <x:c r="K97" s="56" t="str">
        <x:v>1F</x:v>
      </x:c>
      <x:c r="L97" s="56" t="str">
        <x:v>1F</x:v>
      </x:c>
      <x:c r="M97" s="56" t="str">
        <x:v>1F</x:v>
      </x:c>
      <x:c r="N97" s="56" t="str">
        <x:v>1F</x:v>
      </x:c>
      <x:c r="O97" s="56" t="str">
        <x:v>1F</x:v>
      </x:c>
      <x:c r="P97" s="56" t="str">
        <x:v>1F</x:v>
      </x:c>
      <x:c r="Q97" s="56" t="str">
        <x:v>1F</x:v>
      </x:c>
      <x:c r="R97" s="56" t="str">
        <x:v>1F</x:v>
      </x:c>
      <x:c r="S97" s="56" t="str">
        <x:v>1F</x:v>
      </x:c>
      <x:c r="T97" s="56" t="str">
        <x:v>1F</x:v>
      </x:c>
      <x:c r="U97" s="56" t="str">
        <x:v>1F</x:v>
      </x:c>
      <x:c r="V97" s="56" t="str">
        <x:v>1F</x:v>
      </x:c>
      <x:c r="W97" s="56" t="str">
        <x:f>IF(INDEX('週間仮シフト'!H$7:H$78,MATCH(A97,'週間仮シフト'!$A$7:$A$78,0))="夜","一致","不一致")</x:f>
        <x:v>一致</x:v>
      </x:c>
    </x:row>
    <x:row r="98" ht="26" customHeight="1">
      <x:c r="A98" s="56" t="str">
        <x:v>2F-11</x:v>
      </x:c>
      <x:c r="B98" s="56" t="str">
        <x:v>2F</x:v>
      </x:c>
      <x:c r="C98" s="56" t="str">
        <x:v>2F</x:v>
      </x:c>
      <x:c r="D98" s="56" t="str">
        <x:v>2F</x:v>
      </x:c>
      <x:c r="E98" s="56" t="str">
        <x:v>2F</x:v>
      </x:c>
      <x:c r="F98" s="56" t="str">
        <x:v>2F</x:v>
      </x:c>
      <x:c r="G98" s="56" t="str">
        <x:v>仮眠</x:v>
      </x:c>
      <x:c r="H98" s="56" t="str">
        <x:v>仮眠</x:v>
      </x:c>
      <x:c r="I98" s="56" t="str">
        <x:v>仮眠</x:v>
      </x:c>
      <x:c r="J98" s="56" t="str">
        <x:v>仮眠</x:v>
      </x:c>
      <x:c r="K98" s="56" t="str">
        <x:v>2F</x:v>
      </x:c>
      <x:c r="L98" s="56" t="str">
        <x:v>2F</x:v>
      </x:c>
      <x:c r="M98" s="56" t="str">
        <x:v>2F</x:v>
      </x:c>
      <x:c r="N98" s="56" t="str">
        <x:v>2F</x:v>
      </x:c>
      <x:c r="O98" s="56" t="str">
        <x:v>2F</x:v>
      </x:c>
      <x:c r="P98" s="56" t="str">
        <x:v>2F</x:v>
      </x:c>
      <x:c r="Q98" s="56" t="str">
        <x:v>2F</x:v>
      </x:c>
      <x:c r="R98" s="56" t="str">
        <x:v>2F</x:v>
      </x:c>
      <x:c r="S98" s="56" t="str">
        <x:v>2F</x:v>
      </x:c>
      <x:c r="T98" s="56" t="str">
        <x:v>2F</x:v>
      </x:c>
      <x:c r="U98" s="56" t="str">
        <x:v>2F</x:v>
      </x:c>
      <x:c r="V98" s="56" t="str">
        <x:v>2F</x:v>
      </x:c>
      <x:c r="W98" s="56" t="str">
        <x:f>IF(INDEX('週間仮シフト'!H$7:H$78,MATCH(A98,'週間仮シフト'!$A$7:$A$78,0))="夜","一致","不一致")</x:f>
        <x:v>一致</x:v>
      </x:c>
    </x:row>
    <x:row r="99" ht="26" customHeight="1">
      <x:c r="A99" s="56" t="str">
        <x:v>2F-12</x:v>
      </x:c>
      <x:c r="B99" s="56" t="str">
        <x:v>2F</x:v>
      </x:c>
      <x:c r="C99" s="56" t="str">
        <x:v>2F</x:v>
      </x:c>
      <x:c r="D99" s="56" t="str">
        <x:v>2F</x:v>
      </x:c>
      <x:c r="E99" s="56" t="str">
        <x:v>2F</x:v>
      </x:c>
      <x:c r="F99" s="56" t="str">
        <x:v>2F</x:v>
      </x:c>
      <x:c r="G99" s="56" t="str">
        <x:v>2F</x:v>
      </x:c>
      <x:c r="H99" s="56" t="str">
        <x:v>2F</x:v>
      </x:c>
      <x:c r="I99" s="56" t="str">
        <x:v>仮眠</x:v>
      </x:c>
      <x:c r="J99" s="56" t="str">
        <x:v>仮眠</x:v>
      </x:c>
      <x:c r="K99" s="56" t="str">
        <x:v>仮眠</x:v>
      </x:c>
      <x:c r="L99" s="56" t="str">
        <x:v>仮眠</x:v>
      </x:c>
      <x:c r="M99" s="56" t="str">
        <x:v>2F</x:v>
      </x:c>
      <x:c r="N99" s="56" t="str">
        <x:v>2F</x:v>
      </x:c>
      <x:c r="O99" s="56" t="str">
        <x:v>2F</x:v>
      </x:c>
      <x:c r="P99" s="56" t="str">
        <x:v>2F</x:v>
      </x:c>
      <x:c r="Q99" s="56" t="str">
        <x:v>2F</x:v>
      </x:c>
      <x:c r="R99" s="56" t="str">
        <x:v>2F</x:v>
      </x:c>
      <x:c r="S99" s="56" t="str">
        <x:v>2F</x:v>
      </x:c>
      <x:c r="T99" s="56" t="str">
        <x:v>2F</x:v>
      </x:c>
      <x:c r="U99" s="56" t="str">
        <x:v>2F</x:v>
      </x:c>
      <x:c r="V99" s="56" t="str">
        <x:v>2F</x:v>
      </x:c>
      <x:c r="W99" s="56" t="str">
        <x:f>IF(INDEX('週間仮シフト'!H$7:H$78,MATCH(A99,'週間仮シフト'!$A$7:$A$78,0))="夜","一致","不一致")</x:f>
        <x:v>一致</x:v>
      </x:c>
    </x:row>
    <x:row r="100" ht="26" customHeight="1">
      <x:c r="A100" s="56" t="str">
        <x:v>3F-10</x:v>
      </x:c>
      <x:c r="B100" s="56" t="str">
        <x:v>3F</x:v>
      </x:c>
      <x:c r="C100" s="56" t="str">
        <x:v>3F</x:v>
      </x:c>
      <x:c r="D100" s="56" t="str">
        <x:v>3F</x:v>
      </x:c>
      <x:c r="E100" s="56" t="str">
        <x:v>3F</x:v>
      </x:c>
      <x:c r="F100" s="56" t="str">
        <x:v>3F</x:v>
      </x:c>
      <x:c r="G100" s="56" t="str">
        <x:v>3F</x:v>
      </x:c>
      <x:c r="H100" s="56" t="str">
        <x:v>3F</x:v>
      </x:c>
      <x:c r="I100" s="56" t="str">
        <x:v>3F</x:v>
      </x:c>
      <x:c r="J100" s="56" t="str">
        <x:v>3F</x:v>
      </x:c>
      <x:c r="K100" s="56" t="str">
        <x:v>仮眠</x:v>
      </x:c>
      <x:c r="L100" s="56" t="str">
        <x:v>仮眠</x:v>
      </x:c>
      <x:c r="M100" s="56" t="str">
        <x:v>仮眠</x:v>
      </x:c>
      <x:c r="N100" s="56" t="str">
        <x:v>仮眠</x:v>
      </x:c>
      <x:c r="O100" s="56" t="str">
        <x:v>3F</x:v>
      </x:c>
      <x:c r="P100" s="56" t="str">
        <x:v>3F</x:v>
      </x:c>
      <x:c r="Q100" s="56" t="str">
        <x:v>3F</x:v>
      </x:c>
      <x:c r="R100" s="56" t="str">
        <x:v>3F</x:v>
      </x:c>
      <x:c r="S100" s="56" t="str">
        <x:v>3F</x:v>
      </x:c>
      <x:c r="T100" s="56" t="str">
        <x:v>3F</x:v>
      </x:c>
      <x:c r="U100" s="56" t="str">
        <x:v>3F</x:v>
      </x:c>
      <x:c r="V100" s="56" t="str">
        <x:v>3F</x:v>
      </x:c>
      <x:c r="W100" s="56" t="str">
        <x:f>IF(INDEX('週間仮シフト'!H$7:H$78,MATCH(A100,'週間仮シフト'!$A$7:$A$78,0))="夜","一致","不一致")</x:f>
        <x:v>一致</x:v>
      </x:c>
    </x:row>
    <x:row r="101" ht="26" customHeight="1">
      <x:c r="A101" s="56" t="str">
        <x:v>3F-11</x:v>
      </x:c>
      <x:c r="B101" s="56" t="str">
        <x:v>3F</x:v>
      </x:c>
      <x:c r="C101" s="56" t="str">
        <x:v>3F</x:v>
      </x:c>
      <x:c r="D101" s="56" t="str">
        <x:v>3F</x:v>
      </x:c>
      <x:c r="E101" s="56" t="str">
        <x:v>3F</x:v>
      </x:c>
      <x:c r="F101" s="56" t="str">
        <x:v>3F</x:v>
      </x:c>
      <x:c r="G101" s="56" t="str">
        <x:v>3F</x:v>
      </x:c>
      <x:c r="H101" s="56" t="str">
        <x:v>3F</x:v>
      </x:c>
      <x:c r="I101" s="56" t="str">
        <x:v>3F</x:v>
      </x:c>
      <x:c r="J101" s="56" t="str">
        <x:v>3F</x:v>
      </x:c>
      <x:c r="K101" s="56" t="str">
        <x:v>3F</x:v>
      </x:c>
      <x:c r="L101" s="56" t="str">
        <x:v>3F</x:v>
      </x:c>
      <x:c r="M101" s="56" t="str">
        <x:v>仮眠</x:v>
      </x:c>
      <x:c r="N101" s="56" t="str">
        <x:v>仮眠</x:v>
      </x:c>
      <x:c r="O101" s="56" t="str">
        <x:v>仮眠</x:v>
      </x:c>
      <x:c r="P101" s="56" t="str">
        <x:v>仮眠</x:v>
      </x:c>
      <x:c r="Q101" s="56" t="str">
        <x:v>3F</x:v>
      </x:c>
      <x:c r="R101" s="56" t="str">
        <x:v>3F</x:v>
      </x:c>
      <x:c r="S101" s="56" t="str">
        <x:v>3F</x:v>
      </x:c>
      <x:c r="T101" s="56" t="str">
        <x:v>3F</x:v>
      </x:c>
      <x:c r="U101" s="56" t="str">
        <x:v>3F</x:v>
      </x:c>
      <x:c r="V101" s="56" t="str">
        <x:v>3F</x:v>
      </x:c>
      <x:c r="W101" s="56" t="str">
        <x:f>IF(INDEX('週間仮シフト'!H$7:H$78,MATCH(A101,'週間仮シフト'!$A$7:$A$78,0))="夜","一致","不一致")</x:f>
        <x:v>一致</x:v>
      </x:c>
    </x:row>
    <x:row r="102" ht="26" customHeight="1">
      <x:c r="A102" s="56" t="str">
        <x:v>2F-01</x:v>
      </x:c>
      <x:c r="B102" s="56" t="str">
        <x:v>統括</x:v>
      </x:c>
      <x:c r="C102" s="56" t="str">
        <x:v>1F</x:v>
      </x:c>
      <x:c r="D102" s="56" t="str">
        <x:v>1F</x:v>
      </x:c>
      <x:c r="E102" s="56" t="str">
        <x:v>1F</x:v>
      </x:c>
      <x:c r="F102" s="56" t="str">
        <x:v>1F</x:v>
      </x:c>
      <x:c r="G102" s="56" t="str">
        <x:v>2F</x:v>
      </x:c>
      <x:c r="H102" s="56" t="str">
        <x:v>2F</x:v>
      </x:c>
      <x:c r="I102" s="56" t="str">
        <x:v>2F</x:v>
      </x:c>
      <x:c r="J102" s="56" t="str">
        <x:v>2F</x:v>
      </x:c>
      <x:c r="K102" s="56" t="str">
        <x:v>3F</x:v>
      </x:c>
      <x:c r="L102" s="56" t="str">
        <x:v>3F</x:v>
      </x:c>
      <x:c r="M102" s="56" t="str">
        <x:v>3F</x:v>
      </x:c>
      <x:c r="N102" s="56" t="str">
        <x:v>3F</x:v>
      </x:c>
      <x:c r="O102" s="56" t="str">
        <x:v>仮眠</x:v>
      </x:c>
      <x:c r="P102" s="56" t="str">
        <x:v>仮眠</x:v>
      </x:c>
      <x:c r="Q102" s="56" t="str">
        <x:v>仮眠</x:v>
      </x:c>
      <x:c r="R102" s="56" t="str">
        <x:v>仮眠</x:v>
      </x:c>
      <x:c r="S102" s="56" t="str">
        <x:v>統括</x:v>
      </x:c>
      <x:c r="T102" s="56" t="str">
        <x:v>統括</x:v>
      </x:c>
      <x:c r="U102" s="56" t="str">
        <x:v>統括</x:v>
      </x:c>
      <x:c r="V102" s="56" t="str">
        <x:v>統括</x:v>
      </x:c>
      <x:c r="W102" s="56" t="str">
        <x:f>IF(INDEX('週間仮シフト'!H$7:H$78,MATCH(A102,'週間仮シフト'!$A$7:$A$78,0))="統","一致","不一致")</x:f>
        <x:v>一致</x:v>
      </x:c>
    </x:row>
    <x:row r="103" ht="26" customHeight="1">
      <x:c r="A103" s="56" t="str">
        <x:v>2F-02</x:v>
      </x:c>
      <x:c r="B103" s="56" t="str">
        <x:v>統括</x:v>
      </x:c>
      <x:c r="C103" s="56" t="str">
        <x:v>統括</x:v>
      </x:c>
      <x:c r="D103" s="56" t="str">
        <x:v>統括</x:v>
      </x:c>
      <x:c r="E103" s="56" t="str">
        <x:v>統括</x:v>
      </x:c>
      <x:c r="F103" s="56" t="str">
        <x:v>統括</x:v>
      </x:c>
      <x:c r="G103" s="56" t="str">
        <x:v>統括</x:v>
      </x:c>
      <x:c r="H103" s="56" t="str">
        <x:v>統括</x:v>
      </x:c>
      <x:c r="I103" s="56" t="str">
        <x:v>統括</x:v>
      </x:c>
      <x:c r="J103" s="56" t="str">
        <x:v>統括</x:v>
      </x:c>
      <x:c r="K103" s="56" t="str">
        <x:v>統括</x:v>
      </x:c>
      <x:c r="L103" s="56" t="str">
        <x:v>統括</x:v>
      </x:c>
      <x:c r="M103" s="56" t="str">
        <x:v>統括</x:v>
      </x:c>
      <x:c r="N103" s="56" t="str">
        <x:v>統括</x:v>
      </x:c>
      <x:c r="O103" s="56" t="str">
        <x:v>統括</x:v>
      </x:c>
      <x:c r="P103" s="56" t="str">
        <x:v>統括</x:v>
      </x:c>
      <x:c r="Q103" s="56" t="str">
        <x:v>統括</x:v>
      </x:c>
      <x:c r="R103" s="56" t="str">
        <x:v>統括</x:v>
      </x:c>
      <x:c r="S103" s="56" t="str">
        <x:v>仮眠</x:v>
      </x:c>
      <x:c r="T103" s="56" t="str">
        <x:v>仮眠</x:v>
      </x:c>
      <x:c r="U103" s="56" t="str">
        <x:v>仮眠</x:v>
      </x:c>
      <x:c r="V103" s="56" t="str">
        <x:v>仮眠</x:v>
      </x:c>
      <x:c r="W103" s="56" t="str">
        <x:f>IF(INDEX('週間仮シフト'!H$7:H$78,MATCH(A103,'週間仮シフト'!$A$7:$A$78,0))="統","一致","不一致")</x:f>
        <x:v>一致</x:v>
      </x:c>
    </x:row>
    <x:row r="104" ht="26" customHeight="1">
      <x:c r="A104" s="56" t="str">
        <x:v>3F-23</x:v>
      </x:c>
      <x:c r="B104" s="56" t="str">
        <x:v>短時間</x:v>
      </x:c>
      <x:c r="C104" s="56" t="str">
        <x:v>非勤務</x:v>
      </x:c>
      <x:c r="D104" s="56" t="str">
        <x:v>非勤務</x:v>
      </x:c>
      <x:c r="E104" s="56" t="str">
        <x:v>1F</x:v>
      </x:c>
      <x:c r="F104" s="56" t="str">
        <x:v>1F</x:v>
      </x:c>
      <x:c r="G104" s="56" t="str">
        <x:v>1F</x:v>
      </x:c>
      <x:c r="H104" s="56" t="str">
        <x:v>1F</x:v>
      </x:c>
      <x:c r="I104" s="56" t="str">
        <x:v>2F</x:v>
      </x:c>
      <x:c r="J104" s="56" t="str">
        <x:v>2F</x:v>
      </x:c>
      <x:c r="K104" s="56" t="str">
        <x:v>非勤務</x:v>
      </x:c>
      <x:c r="L104" s="56" t="str">
        <x:v>非勤務</x:v>
      </x:c>
      <x:c r="M104" s="56" t="str">
        <x:v>非勤務</x:v>
      </x:c>
      <x:c r="N104" s="56" t="str">
        <x:v>非勤務</x:v>
      </x:c>
      <x:c r="O104" s="56" t="str">
        <x:v>非勤務</x:v>
      </x:c>
      <x:c r="P104" s="56" t="str">
        <x:v>非勤務</x:v>
      </x:c>
      <x:c r="Q104" s="56" t="str">
        <x:v>非勤務</x:v>
      </x:c>
      <x:c r="R104" s="56" t="str">
        <x:v>非勤務</x:v>
      </x:c>
      <x:c r="S104" s="56" t="str">
        <x:v>非勤務</x:v>
      </x:c>
      <x:c r="T104" s="56" t="str">
        <x:v>非勤務</x:v>
      </x:c>
      <x:c r="U104" s="56" t="str">
        <x:v>非勤務</x:v>
      </x:c>
      <x:c r="V104" s="56" t="str">
        <x:v>非勤務</x:v>
      </x:c>
      <x:c r="W104" s="56" t="str">
        <x:f>IF(INDEX('週間仮シフト'!H$7:H$78,MATCH(A104,'週間仮シフト'!$A$7:$A$78,0))="短A","一致","不一致")</x:f>
        <x:v>一致</x:v>
      </x:c>
    </x:row>
    <x:row r="105" ht="26" customHeight="1">
      <x:c r="A105" s="56" t="str">
        <x:v>2F-24</x:v>
      </x:c>
      <x:c r="B105" s="56" t="str">
        <x:v>短時間</x:v>
      </x:c>
      <x:c r="C105" s="56" t="str">
        <x:v>非勤務</x:v>
      </x:c>
      <x:c r="D105" s="56" t="str">
        <x:v>非勤務</x:v>
      </x:c>
      <x:c r="E105" s="56" t="str">
        <x:v>非勤務</x:v>
      </x:c>
      <x:c r="F105" s="56" t="str">
        <x:v>非勤務</x:v>
      </x:c>
      <x:c r="G105" s="56" t="str">
        <x:v>非勤務</x:v>
      </x:c>
      <x:c r="H105" s="56" t="str">
        <x:v>非勤務</x:v>
      </x:c>
      <x:c r="I105" s="56" t="str">
        <x:v>非勤務</x:v>
      </x:c>
      <x:c r="J105" s="56" t="str">
        <x:v>非勤務</x:v>
      </x:c>
      <x:c r="K105" s="56" t="str">
        <x:v>2F</x:v>
      </x:c>
      <x:c r="L105" s="56" t="str">
        <x:v>2F</x:v>
      </x:c>
      <x:c r="M105" s="56" t="str">
        <x:v>3F</x:v>
      </x:c>
      <x:c r="N105" s="56" t="str">
        <x:v>3F</x:v>
      </x:c>
      <x:c r="O105" s="56" t="str">
        <x:v>3F</x:v>
      </x:c>
      <x:c r="P105" s="56" t="str">
        <x:v>3F</x:v>
      </x:c>
      <x:c r="Q105" s="56" t="str">
        <x:v>非勤務</x:v>
      </x:c>
      <x:c r="R105" s="56" t="str">
        <x:v>非勤務</x:v>
      </x:c>
      <x:c r="S105" s="56" t="str">
        <x:v>非勤務</x:v>
      </x:c>
      <x:c r="T105" s="56" t="str">
        <x:v>非勤務</x:v>
      </x:c>
      <x:c r="U105" s="56" t="str">
        <x:v>非勤務</x:v>
      </x:c>
      <x:c r="V105" s="56" t="str">
        <x:v>非勤務</x:v>
      </x:c>
      <x:c r="W105" s="56" t="str">
        <x:f>IF(INDEX('週間仮シフト'!I$7:I$78,MATCH(A105,'週間仮シフト'!$A$7:$A$78,0))="短B","一致","不一致")</x:f>
        <x:v>一致</x:v>
      </x:c>
    </x:row>
    <x:row r="106" ht="26" customHeight="1">
      <x:c r="A106" s="56"/>
      <x:c r="B106" s="56"/>
      <x:c r="C106" s="56"/>
      <x:c r="D106" s="56"/>
      <x:c r="E106" s="56"/>
      <x:c r="F106" s="56"/>
      <x:c r="G106" s="56"/>
      <x:c r="H106" s="56"/>
      <x:c r="I106" s="56"/>
      <x:c r="J106" s="56"/>
      <x:c r="K106" s="56"/>
      <x:c r="L106" s="56"/>
      <x:c r="M106" s="56"/>
      <x:c r="N106" s="56"/>
      <x:c r="O106" s="56"/>
      <x:c r="P106" s="56"/>
      <x:c r="Q106" s="56"/>
      <x:c r="R106" s="56"/>
      <x:c r="S106" s="56"/>
      <x:c r="T106" s="56"/>
      <x:c r="U106" s="56"/>
      <x:c r="V106" s="56"/>
      <x:c r="W106" s="56"/>
    </x:row>
    <x:row r="107" ht="26" customHeight="1">
      <x:c r="A107" s="56" t="str">
        <x:v>1F対応中</x:v>
      </x:c>
      <x:c r="B107" s="56" t="n">
        <x:f>'施設設定'!H17</x:f>
        <x:v>2</x:v>
      </x:c>
      <x:c r="C107" s="56" t="n">
        <x:f>COUNTIFS(C96:C105,"1F",$W96:$W105,"一致")</x:f>
        <x:v>2</x:v>
      </x:c>
      <x:c r="D107" s="56" t="n">
        <x:f>COUNTIFS(D96:D105,"1F",$W96:$W105,"一致")</x:f>
        <x:v>2</x:v>
      </x:c>
      <x:c r="E107" s="56" t="n">
        <x:f>COUNTIFS(E96:E105,"1F",$W96:$W105,"一致")</x:f>
        <x:v>2</x:v>
      </x:c>
      <x:c r="F107" s="56" t="n">
        <x:f>COUNTIFS(F96:F105,"1F",$W96:$W105,"一致")</x:f>
        <x:v>2</x:v>
      </x:c>
      <x:c r="G107" s="56" t="n">
        <x:f>COUNTIFS(G96:G105,"1F",$W96:$W105,"一致")</x:f>
        <x:v>2</x:v>
      </x:c>
      <x:c r="H107" s="56" t="n">
        <x:f>COUNTIFS(H96:H105,"1F",$W96:$W105,"一致")</x:f>
        <x:v>2</x:v>
      </x:c>
      <x:c r="I107" s="56" t="n">
        <x:f>COUNTIFS(I96:I105,"1F",$W96:$W105,"一致")</x:f>
        <x:v>2</x:v>
      </x:c>
      <x:c r="J107" s="56" t="n">
        <x:f>COUNTIFS(J96:J105,"1F",$W96:$W105,"一致")</x:f>
        <x:v>2</x:v>
      </x:c>
      <x:c r="K107" s="56" t="n">
        <x:f>COUNTIFS(K96:K105,"1F",$W96:$W105,"一致")</x:f>
        <x:v>2</x:v>
      </x:c>
      <x:c r="L107" s="56" t="n">
        <x:f>COUNTIFS(L96:L105,"1F",$W96:$W105,"一致")</x:f>
        <x:v>2</x:v>
      </x:c>
      <x:c r="M107" s="56" t="n">
        <x:f>COUNTIFS(M96:M105,"1F",$W96:$W105,"一致")</x:f>
        <x:v>2</x:v>
      </x:c>
      <x:c r="N107" s="56" t="n">
        <x:f>COUNTIFS(N96:N105,"1F",$W96:$W105,"一致")</x:f>
        <x:v>2</x:v>
      </x:c>
      <x:c r="O107" s="56" t="n">
        <x:f>COUNTIFS(O96:O105,"1F",$W96:$W105,"一致")</x:f>
        <x:v>2</x:v>
      </x:c>
      <x:c r="P107" s="56" t="n">
        <x:f>COUNTIFS(P96:P105,"1F",$W96:$W105,"一致")</x:f>
        <x:v>2</x:v>
      </x:c>
      <x:c r="Q107" s="56" t="n">
        <x:f>COUNTIFS(Q96:Q105,"1F",$W96:$W105,"一致")</x:f>
        <x:v>2</x:v>
      </x:c>
      <x:c r="R107" s="56" t="n">
        <x:f>COUNTIFS(R96:R105,"1F",$W96:$W105,"一致")</x:f>
        <x:v>2</x:v>
      </x:c>
      <x:c r="S107" s="56" t="n">
        <x:f>COUNTIFS(S96:S105,"1F",$W96:$W105,"一致")</x:f>
        <x:v>2</x:v>
      </x:c>
      <x:c r="T107" s="56" t="n">
        <x:f>COUNTIFS(T96:T105,"1F",$W96:$W105,"一致")</x:f>
        <x:v>2</x:v>
      </x:c>
      <x:c r="U107" s="56" t="n">
        <x:f>COUNTIFS(U96:U105,"1F",$W96:$W105,"一致")</x:f>
        <x:v>2</x:v>
      </x:c>
      <x:c r="V107" s="56" t="n">
        <x:f>COUNTIFS(V96:V105,"1F",$W96:$W105,"一致")</x:f>
        <x:v>2</x:v>
      </x:c>
      <x:c r="W107" s="56"/>
    </x:row>
    <x:row r="108" ht="26" customHeight="1">
      <x:c r="A108" s="56" t="str">
        <x:v>2F対応中</x:v>
      </x:c>
      <x:c r="B108" s="56" t="n">
        <x:f>'施設設定'!H18</x:f>
        <x:v>2</x:v>
      </x:c>
      <x:c r="C108" s="56" t="n">
        <x:f>COUNTIFS(C96:C105,"2F",$W96:$W105,"一致")</x:f>
        <x:v>2</x:v>
      </x:c>
      <x:c r="D108" s="56" t="n">
        <x:f>COUNTIFS(D96:D105,"2F",$W96:$W105,"一致")</x:f>
        <x:v>2</x:v>
      </x:c>
      <x:c r="E108" s="56" t="n">
        <x:f>COUNTIFS(E96:E105,"2F",$W96:$W105,"一致")</x:f>
        <x:v>2</x:v>
      </x:c>
      <x:c r="F108" s="56" t="n">
        <x:f>COUNTIFS(F96:F105,"2F",$W96:$W105,"一致")</x:f>
        <x:v>2</x:v>
      </x:c>
      <x:c r="G108" s="56" t="n">
        <x:f>COUNTIFS(G96:G105,"2F",$W96:$W105,"一致")</x:f>
        <x:v>2</x:v>
      </x:c>
      <x:c r="H108" s="56" t="n">
        <x:f>COUNTIFS(H96:H105,"2F",$W96:$W105,"一致")</x:f>
        <x:v>2</x:v>
      </x:c>
      <x:c r="I108" s="56" t="n">
        <x:f>COUNTIFS(I96:I105,"2F",$W96:$W105,"一致")</x:f>
        <x:v>2</x:v>
      </x:c>
      <x:c r="J108" s="56" t="n">
        <x:f>COUNTIFS(J96:J105,"2F",$W96:$W105,"一致")</x:f>
        <x:v>2</x:v>
      </x:c>
      <x:c r="K108" s="56" t="n">
        <x:f>COUNTIFS(K96:K105,"2F",$W96:$W105,"一致")</x:f>
        <x:v>2</x:v>
      </x:c>
      <x:c r="L108" s="56" t="n">
        <x:f>COUNTIFS(L96:L105,"2F",$W96:$W105,"一致")</x:f>
        <x:v>2</x:v>
      </x:c>
      <x:c r="M108" s="56" t="n">
        <x:f>COUNTIFS(M96:M105,"2F",$W96:$W105,"一致")</x:f>
        <x:v>2</x:v>
      </x:c>
      <x:c r="N108" s="56" t="n">
        <x:f>COUNTIFS(N96:N105,"2F",$W96:$W105,"一致")</x:f>
        <x:v>2</x:v>
      </x:c>
      <x:c r="O108" s="56" t="n">
        <x:f>COUNTIFS(O96:O105,"2F",$W96:$W105,"一致")</x:f>
        <x:v>2</x:v>
      </x:c>
      <x:c r="P108" s="56" t="n">
        <x:f>COUNTIFS(P96:P105,"2F",$W96:$W105,"一致")</x:f>
        <x:v>2</x:v>
      </x:c>
      <x:c r="Q108" s="56" t="n">
        <x:f>COUNTIFS(Q96:Q105,"2F",$W96:$W105,"一致")</x:f>
        <x:v>2</x:v>
      </x:c>
      <x:c r="R108" s="56" t="n">
        <x:f>COUNTIFS(R96:R105,"2F",$W96:$W105,"一致")</x:f>
        <x:v>2</x:v>
      </x:c>
      <x:c r="S108" s="56" t="n">
        <x:f>COUNTIFS(S96:S105,"2F",$W96:$W105,"一致")</x:f>
        <x:v>2</x:v>
      </x:c>
      <x:c r="T108" s="56" t="n">
        <x:f>COUNTIFS(T96:T105,"2F",$W96:$W105,"一致")</x:f>
        <x:v>2</x:v>
      </x:c>
      <x:c r="U108" s="56" t="n">
        <x:f>COUNTIFS(U96:U105,"2F",$W96:$W105,"一致")</x:f>
        <x:v>2</x:v>
      </x:c>
      <x:c r="V108" s="56" t="n">
        <x:f>COUNTIFS(V96:V105,"2F",$W96:$W105,"一致")</x:f>
        <x:v>2</x:v>
      </x:c>
      <x:c r="W108" s="56"/>
    </x:row>
    <x:row r="109" ht="26" customHeight="1">
      <x:c r="A109" s="56" t="str">
        <x:v>3F対応中</x:v>
      </x:c>
      <x:c r="B109" s="56" t="n">
        <x:f>'施設設定'!H19</x:f>
        <x:v>2</x:v>
      </x:c>
      <x:c r="C109" s="56" t="n">
        <x:f>COUNTIFS(C96:C105,"3F",$W96:$W105,"一致")</x:f>
        <x:v>2</x:v>
      </x:c>
      <x:c r="D109" s="56" t="n">
        <x:f>COUNTIFS(D96:D105,"3F",$W96:$W105,"一致")</x:f>
        <x:v>2</x:v>
      </x:c>
      <x:c r="E109" s="56" t="n">
        <x:f>COUNTIFS(E96:E105,"3F",$W96:$W105,"一致")</x:f>
        <x:v>2</x:v>
      </x:c>
      <x:c r="F109" s="56" t="n">
        <x:f>COUNTIFS(F96:F105,"3F",$W96:$W105,"一致")</x:f>
        <x:v>2</x:v>
      </x:c>
      <x:c r="G109" s="56" t="n">
        <x:f>COUNTIFS(G96:G105,"3F",$W96:$W105,"一致")</x:f>
        <x:v>2</x:v>
      </x:c>
      <x:c r="H109" s="56" t="n">
        <x:f>COUNTIFS(H96:H105,"3F",$W96:$W105,"一致")</x:f>
        <x:v>2</x:v>
      </x:c>
      <x:c r="I109" s="56" t="n">
        <x:f>COUNTIFS(I96:I105,"3F",$W96:$W105,"一致")</x:f>
        <x:v>2</x:v>
      </x:c>
      <x:c r="J109" s="56" t="n">
        <x:f>COUNTIFS(J96:J105,"3F",$W96:$W105,"一致")</x:f>
        <x:v>2</x:v>
      </x:c>
      <x:c r="K109" s="56" t="n">
        <x:f>COUNTIFS(K96:K105,"3F",$W96:$W105,"一致")</x:f>
        <x:v>2</x:v>
      </x:c>
      <x:c r="L109" s="56" t="n">
        <x:f>COUNTIFS(L96:L105,"3F",$W96:$W105,"一致")</x:f>
        <x:v>2</x:v>
      </x:c>
      <x:c r="M109" s="56" t="n">
        <x:f>COUNTIFS(M96:M105,"3F",$W96:$W105,"一致")</x:f>
        <x:v>2</x:v>
      </x:c>
      <x:c r="N109" s="56" t="n">
        <x:f>COUNTIFS(N96:N105,"3F",$W96:$W105,"一致")</x:f>
        <x:v>2</x:v>
      </x:c>
      <x:c r="O109" s="56" t="n">
        <x:f>COUNTIFS(O96:O105,"3F",$W96:$W105,"一致")</x:f>
        <x:v>2</x:v>
      </x:c>
      <x:c r="P109" s="56" t="n">
        <x:f>COUNTIFS(P96:P105,"3F",$W96:$W105,"一致")</x:f>
        <x:v>2</x:v>
      </x:c>
      <x:c r="Q109" s="56" t="n">
        <x:f>COUNTIFS(Q96:Q105,"3F",$W96:$W105,"一致")</x:f>
        <x:v>2</x:v>
      </x:c>
      <x:c r="R109" s="56" t="n">
        <x:f>COUNTIFS(R96:R105,"3F",$W96:$W105,"一致")</x:f>
        <x:v>2</x:v>
      </x:c>
      <x:c r="S109" s="56" t="n">
        <x:f>COUNTIFS(S96:S105,"3F",$W96:$W105,"一致")</x:f>
        <x:v>2</x:v>
      </x:c>
      <x:c r="T109" s="56" t="n">
        <x:f>COUNTIFS(T96:T105,"3F",$W96:$W105,"一致")</x:f>
        <x:v>2</x:v>
      </x:c>
      <x:c r="U109" s="56" t="n">
        <x:f>COUNTIFS(U96:U105,"3F",$W96:$W105,"一致")</x:f>
        <x:v>2</x:v>
      </x:c>
      <x:c r="V109" s="56" t="n">
        <x:f>COUNTIFS(V96:V105,"3F",$W96:$W105,"一致")</x:f>
        <x:v>2</x:v>
      </x:c>
      <x:c r="W109" s="56"/>
    </x:row>
    <x:row r="110" ht="26" customHeight="1">
      <x:c r="A110" s="56" t="str">
        <x:v>自由な統括</x:v>
      </x:c>
      <x:c r="B110" s="56" t="n">
        <x:f>'施設設定'!B12</x:f>
        <x:v>1</x:v>
      </x:c>
      <x:c r="C110" s="56" t="n">
        <x:f>COUNTIFS(C96:C105,"統括",$W96:$W105,"一致")</x:f>
        <x:v>1</x:v>
      </x:c>
      <x:c r="D110" s="56" t="n">
        <x:f>COUNTIFS(D96:D105,"統括",$W96:$W105,"一致")</x:f>
        <x:v>1</x:v>
      </x:c>
      <x:c r="E110" s="56" t="n">
        <x:f>COUNTIFS(E96:E105,"統括",$W96:$W105,"一致")</x:f>
        <x:v>1</x:v>
      </x:c>
      <x:c r="F110" s="56" t="n">
        <x:f>COUNTIFS(F96:F105,"統括",$W96:$W105,"一致")</x:f>
        <x:v>1</x:v>
      </x:c>
      <x:c r="G110" s="56" t="n">
        <x:f>COUNTIFS(G96:G105,"統括",$W96:$W105,"一致")</x:f>
        <x:v>1</x:v>
      </x:c>
      <x:c r="H110" s="56" t="n">
        <x:f>COUNTIFS(H96:H105,"統括",$W96:$W105,"一致")</x:f>
        <x:v>1</x:v>
      </x:c>
      <x:c r="I110" s="56" t="n">
        <x:f>COUNTIFS(I96:I105,"統括",$W96:$W105,"一致")</x:f>
        <x:v>1</x:v>
      </x:c>
      <x:c r="J110" s="56" t="n">
        <x:f>COUNTIFS(J96:J105,"統括",$W96:$W105,"一致")</x:f>
        <x:v>1</x:v>
      </x:c>
      <x:c r="K110" s="56" t="n">
        <x:f>COUNTIFS(K96:K105,"統括",$W96:$W105,"一致")</x:f>
        <x:v>1</x:v>
      </x:c>
      <x:c r="L110" s="56" t="n">
        <x:f>COUNTIFS(L96:L105,"統括",$W96:$W105,"一致")</x:f>
        <x:v>1</x:v>
      </x:c>
      <x:c r="M110" s="56" t="n">
        <x:f>COUNTIFS(M96:M105,"統括",$W96:$W105,"一致")</x:f>
        <x:v>1</x:v>
      </x:c>
      <x:c r="N110" s="56" t="n">
        <x:f>COUNTIFS(N96:N105,"統括",$W96:$W105,"一致")</x:f>
        <x:v>1</x:v>
      </x:c>
      <x:c r="O110" s="56" t="n">
        <x:f>COUNTIFS(O96:O105,"統括",$W96:$W105,"一致")</x:f>
        <x:v>1</x:v>
      </x:c>
      <x:c r="P110" s="56" t="n">
        <x:f>COUNTIFS(P96:P105,"統括",$W96:$W105,"一致")</x:f>
        <x:v>1</x:v>
      </x:c>
      <x:c r="Q110" s="56" t="n">
        <x:f>COUNTIFS(Q96:Q105,"統括",$W96:$W105,"一致")</x:f>
        <x:v>1</x:v>
      </x:c>
      <x:c r="R110" s="56" t="n">
        <x:f>COUNTIFS(R96:R105,"統括",$W96:$W105,"一致")</x:f>
        <x:v>1</x:v>
      </x:c>
      <x:c r="S110" s="56" t="n">
        <x:f>COUNTIFS(S96:S105,"統括",$W96:$W105,"一致")</x:f>
        <x:v>1</x:v>
      </x:c>
      <x:c r="T110" s="56" t="n">
        <x:f>COUNTIFS(T96:T105,"統括",$W96:$W105,"一致")</x:f>
        <x:v>1</x:v>
      </x:c>
      <x:c r="U110" s="56" t="n">
        <x:f>COUNTIFS(U96:U105,"統括",$W96:$W105,"一致")</x:f>
        <x:v>1</x:v>
      </x:c>
      <x:c r="V110" s="56" t="n">
        <x:f>COUNTIFS(V96:V105,"統括",$W96:$W105,"一致")</x:f>
        <x:v>1</x:v>
      </x:c>
      <x:c r="W110" s="56"/>
    </x:row>
    <x:row r="111" ht="26" customHeight="1">
      <x:c r="A111" s="56" t="str">
        <x:v>配置判定</x:v>
      </x:c>
      <x:c r="B111" s="56"/>
      <x:c r="C111" s="56" t="str">
        <x:f>IF(AND(C107&gt;=$B107,C108&gt;=$B108,C109&gt;=$B109,C110&gt;=$B110),"充足","不足")</x:f>
        <x:v>充足</x:v>
      </x:c>
      <x:c r="D111" s="56" t="str">
        <x:f>IF(AND(D107&gt;=$B107,D108&gt;=$B108,D109&gt;=$B109,D110&gt;=$B110),"充足","不足")</x:f>
        <x:v>充足</x:v>
      </x:c>
      <x:c r="E111" s="56" t="str">
        <x:f>IF(AND(E107&gt;=$B107,E108&gt;=$B108,E109&gt;=$B109,E110&gt;=$B110),"充足","不足")</x:f>
        <x:v>充足</x:v>
      </x:c>
      <x:c r="F111" s="56" t="str">
        <x:f>IF(AND(F107&gt;=$B107,F108&gt;=$B108,F109&gt;=$B109,F110&gt;=$B110),"充足","不足")</x:f>
        <x:v>充足</x:v>
      </x:c>
      <x:c r="G111" s="56" t="str">
        <x:f>IF(AND(G107&gt;=$B107,G108&gt;=$B108,G109&gt;=$B109,G110&gt;=$B110),"充足","不足")</x:f>
        <x:v>充足</x:v>
      </x:c>
      <x:c r="H111" s="56" t="str">
        <x:f>IF(AND(H107&gt;=$B107,H108&gt;=$B108,H109&gt;=$B109,H110&gt;=$B110),"充足","不足")</x:f>
        <x:v>充足</x:v>
      </x:c>
      <x:c r="I111" s="56" t="str">
        <x:f>IF(AND(I107&gt;=$B107,I108&gt;=$B108,I109&gt;=$B109,I110&gt;=$B110),"充足","不足")</x:f>
        <x:v>充足</x:v>
      </x:c>
      <x:c r="J111" s="56" t="str">
        <x:f>IF(AND(J107&gt;=$B107,J108&gt;=$B108,J109&gt;=$B109,J110&gt;=$B110),"充足","不足")</x:f>
        <x:v>充足</x:v>
      </x:c>
      <x:c r="K111" s="56" t="str">
        <x:f>IF(AND(K107&gt;=$B107,K108&gt;=$B108,K109&gt;=$B109,K110&gt;=$B110),"充足","不足")</x:f>
        <x:v>充足</x:v>
      </x:c>
      <x:c r="L111" s="56" t="str">
        <x:f>IF(AND(L107&gt;=$B107,L108&gt;=$B108,L109&gt;=$B109,L110&gt;=$B110),"充足","不足")</x:f>
        <x:v>充足</x:v>
      </x:c>
      <x:c r="M111" s="56" t="str">
        <x:f>IF(AND(M107&gt;=$B107,M108&gt;=$B108,M109&gt;=$B109,M110&gt;=$B110),"充足","不足")</x:f>
        <x:v>充足</x:v>
      </x:c>
      <x:c r="N111" s="56" t="str">
        <x:f>IF(AND(N107&gt;=$B107,N108&gt;=$B108,N109&gt;=$B109,N110&gt;=$B110),"充足","不足")</x:f>
        <x:v>充足</x:v>
      </x:c>
      <x:c r="O111" s="56" t="str">
        <x:f>IF(AND(O107&gt;=$B107,O108&gt;=$B108,O109&gt;=$B109,O110&gt;=$B110),"充足","不足")</x:f>
        <x:v>充足</x:v>
      </x:c>
      <x:c r="P111" s="56" t="str">
        <x:f>IF(AND(P107&gt;=$B107,P108&gt;=$B108,P109&gt;=$B109,P110&gt;=$B110),"充足","不足")</x:f>
        <x:v>充足</x:v>
      </x:c>
      <x:c r="Q111" s="56" t="str">
        <x:f>IF(AND(Q107&gt;=$B107,Q108&gt;=$B108,Q109&gt;=$B109,Q110&gt;=$B110),"充足","不足")</x:f>
        <x:v>充足</x:v>
      </x:c>
      <x:c r="R111" s="56" t="str">
        <x:f>IF(AND(R107&gt;=$B107,R108&gt;=$B108,R109&gt;=$B109,R110&gt;=$B110),"充足","不足")</x:f>
        <x:v>充足</x:v>
      </x:c>
      <x:c r="S111" s="56" t="str">
        <x:f>IF(AND(S107&gt;=$B107,S108&gt;=$B108,S109&gt;=$B109,S110&gt;=$B110),"充足","不足")</x:f>
        <x:v>充足</x:v>
      </x:c>
      <x:c r="T111" s="56" t="str">
        <x:f>IF(AND(T107&gt;=$B107,T108&gt;=$B108,T109&gt;=$B109,T110&gt;=$B110),"充足","不足")</x:f>
        <x:v>充足</x:v>
      </x:c>
      <x:c r="U111" s="56" t="str">
        <x:f>IF(AND(U107&gt;=$B107,U108&gt;=$B108,U109&gt;=$B109,U110&gt;=$B110),"充足","不足")</x:f>
        <x:v>充足</x:v>
      </x:c>
      <x:c r="V111" s="56" t="str">
        <x:f>IF(AND(V107&gt;=$B107,V108&gt;=$B108,V109&gt;=$B109,V110&gt;=$B110),"充足","不足")</x:f>
        <x:v>充足</x:v>
      </x:c>
      <x:c r="W111" s="56"/>
    </x:row>
    <x:row r="112" ht="26" customHeight="1">
      <x:c r="A112" s="56"/>
      <x:c r="B112" s="56"/>
      <x:c r="C112" s="56"/>
      <x:c r="D112" s="56"/>
      <x:c r="E112" s="56"/>
      <x:c r="F112" s="56"/>
      <x:c r="G112" s="56"/>
      <x:c r="H112" s="56"/>
      <x:c r="I112" s="56"/>
      <x:c r="J112" s="56"/>
      <x:c r="K112" s="56"/>
      <x:c r="L112" s="56"/>
      <x:c r="M112" s="56"/>
      <x:c r="N112" s="56"/>
      <x:c r="O112" s="56"/>
      <x:c r="P112" s="56"/>
      <x:c r="Q112" s="56"/>
      <x:c r="R112" s="56"/>
      <x:c r="S112" s="56"/>
      <x:c r="T112" s="56"/>
      <x:c r="U112" s="56"/>
      <x:c r="V112" s="56"/>
      <x:c r="W112" s="56"/>
    </x:row>
    <x:row r="113" ht="26" customHeight="1">
      <x:c r="A113" s="56"/>
      <x:c r="B113" s="56"/>
      <x:c r="C113" s="56"/>
      <x:c r="D113" s="56"/>
      <x:c r="E113" s="56"/>
      <x:c r="F113" s="56"/>
      <x:c r="G113" s="56"/>
      <x:c r="H113" s="56"/>
      <x:c r="I113" s="56"/>
      <x:c r="J113" s="56"/>
      <x:c r="K113" s="56"/>
      <x:c r="L113" s="56"/>
      <x:c r="M113" s="56"/>
      <x:c r="N113" s="56"/>
      <x:c r="O113" s="56"/>
      <x:c r="P113" s="56"/>
      <x:c r="Q113" s="56"/>
      <x:c r="R113" s="56"/>
      <x:c r="S113" s="56"/>
      <x:c r="T113" s="56"/>
      <x:c r="U113" s="56"/>
      <x:c r="V113" s="56"/>
      <x:c r="W113" s="56"/>
    </x:row>
    <x:row r="114" ht="26" customHeight="1">
      <x:c r="A114" s="56"/>
      <x:c r="B114" s="56"/>
      <x:c r="C114" s="56"/>
      <x:c r="D114" s="56"/>
      <x:c r="E114" s="56"/>
      <x:c r="F114" s="56"/>
      <x:c r="G114" s="56"/>
      <x:c r="H114" s="56"/>
      <x:c r="I114" s="56"/>
      <x:c r="J114" s="56"/>
      <x:c r="K114" s="56"/>
      <x:c r="L114" s="56"/>
      <x:c r="M114" s="56"/>
      <x:c r="N114" s="56"/>
      <x:c r="O114" s="56"/>
      <x:c r="P114" s="56"/>
      <x:c r="Q114" s="56"/>
      <x:c r="R114" s="56"/>
      <x:c r="S114" s="56"/>
      <x:c r="T114" s="56"/>
      <x:c r="U114" s="56"/>
      <x:c r="V114" s="56"/>
      <x:c r="W114" s="56"/>
    </x:row>
    <x:row r="115" ht="26" customHeight="1">
      <x:c r="A115" s="56"/>
      <x:c r="B115" s="56"/>
      <x:c r="C115" s="56"/>
      <x:c r="D115" s="56"/>
      <x:c r="E115" s="56"/>
      <x:c r="F115" s="56"/>
      <x:c r="G115" s="56"/>
      <x:c r="H115" s="56"/>
      <x:c r="I115" s="56"/>
      <x:c r="J115" s="56"/>
      <x:c r="K115" s="56"/>
      <x:c r="L115" s="56"/>
      <x:c r="M115" s="56"/>
      <x:c r="N115" s="56"/>
      <x:c r="O115" s="56"/>
      <x:c r="P115" s="56"/>
      <x:c r="Q115" s="56"/>
      <x:c r="R115" s="56"/>
      <x:c r="S115" s="56"/>
      <x:c r="T115" s="56"/>
      <x:c r="U115" s="56"/>
      <x:c r="V115" s="56"/>
      <x:c r="W115" s="56"/>
    </x:row>
    <x:row r="116" ht="26" customHeight="1">
      <x:c r="A116" s="56" t="str">
        <x:v>10/10（土）開始の夜勤</x:v>
      </x:c>
      <x:c r="B116" s="56"/>
      <x:c r="C116" s="56"/>
      <x:c r="D116" s="56"/>
      <x:c r="E116" s="56"/>
      <x:c r="F116" s="56"/>
      <x:c r="G116" s="56"/>
      <x:c r="H116" s="56"/>
      <x:c r="I116" s="56"/>
      <x:c r="J116" s="56"/>
      <x:c r="K116" s="56"/>
      <x:c r="L116" s="56"/>
      <x:c r="M116" s="56"/>
      <x:c r="N116" s="56"/>
      <x:c r="O116" s="56"/>
      <x:c r="P116" s="56"/>
      <x:c r="Q116" s="56"/>
      <x:c r="R116" s="56"/>
      <x:c r="S116" s="56"/>
      <x:c r="T116" s="56"/>
      <x:c r="U116" s="56"/>
      <x:c r="V116" s="56"/>
      <x:c r="W116" s="56"/>
    </x:row>
    <x:row r="117" ht="40" customHeight="1">
      <x:c r="A117" s="95" t="str">
        <x:v>職員ID</x:v>
      </x:c>
      <x:c r="B117" s="95" t="str">
        <x:v>基本役割</x:v>
      </x:c>
      <x:c r="C117" s="97" t="n">
        <x:v>46305.875</x:v>
      </x:c>
      <x:c r="D117" s="97" t="n">
        <x:v>46305.895833333336</x:v>
      </x:c>
      <x:c r="E117" s="97" t="n">
        <x:v>46305.916666666664</x:v>
      </x:c>
      <x:c r="F117" s="97" t="n">
        <x:v>46305.9375</x:v>
      </x:c>
      <x:c r="G117" s="97" t="n">
        <x:v>46305.958333333336</x:v>
      </x:c>
      <x:c r="H117" s="97" t="n">
        <x:v>46305.979166666664</x:v>
      </x:c>
      <x:c r="I117" s="97" t="n">
        <x:v>46306</x:v>
      </x:c>
      <x:c r="J117" s="97" t="n">
        <x:v>46306.020833333336</x:v>
      </x:c>
      <x:c r="K117" s="97" t="n">
        <x:v>46306.041666666664</x:v>
      </x:c>
      <x:c r="L117" s="97" t="n">
        <x:v>46306.0625</x:v>
      </x:c>
      <x:c r="M117" s="97" t="n">
        <x:v>46306.083333333336</x:v>
      </x:c>
      <x:c r="N117" s="97" t="n">
        <x:v>46306.104166666664</x:v>
      </x:c>
      <x:c r="O117" s="97" t="n">
        <x:v>46306.125</x:v>
      </x:c>
      <x:c r="P117" s="97" t="n">
        <x:v>46306.145833333336</x:v>
      </x:c>
      <x:c r="Q117" s="97" t="n">
        <x:v>46306.166666666664</x:v>
      </x:c>
      <x:c r="R117" s="97" t="n">
        <x:v>46306.1875</x:v>
      </x:c>
      <x:c r="S117" s="97" t="n">
        <x:v>46306.208333333336</x:v>
      </x:c>
      <x:c r="T117" s="97" t="n">
        <x:v>46306.229166666664</x:v>
      </x:c>
      <x:c r="U117" s="97" t="n">
        <x:v>46306.25</x:v>
      </x:c>
      <x:c r="V117" s="97" t="n">
        <x:v>46306.270833333336</x:v>
      </x:c>
      <x:c r="W117" s="95" t="str">
        <x:v>仮シフト一致</x:v>
      </x:c>
    </x:row>
    <x:row r="118" ht="26" customHeight="1">
      <x:c r="A118" s="56" t="str">
        <x:v>1F-07</x:v>
      </x:c>
      <x:c r="B118" s="56" t="str">
        <x:v>1F</x:v>
      </x:c>
      <x:c r="C118" s="56" t="str">
        <x:v>仮眠</x:v>
      </x:c>
      <x:c r="D118" s="56" t="str">
        <x:v>仮眠</x:v>
      </x:c>
      <x:c r="E118" s="56" t="str">
        <x:v>仮眠</x:v>
      </x:c>
      <x:c r="F118" s="56" t="str">
        <x:v>仮眠</x:v>
      </x:c>
      <x:c r="G118" s="56" t="str">
        <x:v>1F</x:v>
      </x:c>
      <x:c r="H118" s="56" t="str">
        <x:v>1F</x:v>
      </x:c>
      <x:c r="I118" s="56" t="str">
        <x:v>1F</x:v>
      </x:c>
      <x:c r="J118" s="56" t="str">
        <x:v>1F</x:v>
      </x:c>
      <x:c r="K118" s="56" t="str">
        <x:v>1F</x:v>
      </x:c>
      <x:c r="L118" s="56" t="str">
        <x:v>1F</x:v>
      </x:c>
      <x:c r="M118" s="56" t="str">
        <x:v>1F</x:v>
      </x:c>
      <x:c r="N118" s="56" t="str">
        <x:v>1F</x:v>
      </x:c>
      <x:c r="O118" s="56" t="str">
        <x:v>1F</x:v>
      </x:c>
      <x:c r="P118" s="56" t="str">
        <x:v>1F</x:v>
      </x:c>
      <x:c r="Q118" s="56" t="str">
        <x:v>1F</x:v>
      </x:c>
      <x:c r="R118" s="56" t="str">
        <x:v>1F</x:v>
      </x:c>
      <x:c r="S118" s="56" t="str">
        <x:v>1F</x:v>
      </x:c>
      <x:c r="T118" s="56" t="str">
        <x:v>1F</x:v>
      </x:c>
      <x:c r="U118" s="56" t="str">
        <x:v>1F</x:v>
      </x:c>
      <x:c r="V118" s="56" t="str">
        <x:v>1F</x:v>
      </x:c>
      <x:c r="W118" s="56" t="str">
        <x:f>IF(INDEX('週間仮シフト'!I$7:I$78,MATCH(A118,'週間仮シフト'!$A$7:$A$78,0))="夜","一致","不一致")</x:f>
        <x:v>一致</x:v>
      </x:c>
    </x:row>
    <x:row r="119" ht="26" customHeight="1">
      <x:c r="A119" s="56" t="str">
        <x:v>1F-08</x:v>
      </x:c>
      <x:c r="B119" s="56" t="str">
        <x:v>1F</x:v>
      </x:c>
      <x:c r="C119" s="56" t="str">
        <x:v>1F</x:v>
      </x:c>
      <x:c r="D119" s="56" t="str">
        <x:v>1F</x:v>
      </x:c>
      <x:c r="E119" s="56" t="str">
        <x:v>仮眠</x:v>
      </x:c>
      <x:c r="F119" s="56" t="str">
        <x:v>仮眠</x:v>
      </x:c>
      <x:c r="G119" s="56" t="str">
        <x:v>仮眠</x:v>
      </x:c>
      <x:c r="H119" s="56" t="str">
        <x:v>仮眠</x:v>
      </x:c>
      <x:c r="I119" s="56" t="str">
        <x:v>1F</x:v>
      </x:c>
      <x:c r="J119" s="56" t="str">
        <x:v>1F</x:v>
      </x:c>
      <x:c r="K119" s="56" t="str">
        <x:v>1F</x:v>
      </x:c>
      <x:c r="L119" s="56" t="str">
        <x:v>1F</x:v>
      </x:c>
      <x:c r="M119" s="56" t="str">
        <x:v>1F</x:v>
      </x:c>
      <x:c r="N119" s="56" t="str">
        <x:v>1F</x:v>
      </x:c>
      <x:c r="O119" s="56" t="str">
        <x:v>1F</x:v>
      </x:c>
      <x:c r="P119" s="56" t="str">
        <x:v>1F</x:v>
      </x:c>
      <x:c r="Q119" s="56" t="str">
        <x:v>1F</x:v>
      </x:c>
      <x:c r="R119" s="56" t="str">
        <x:v>1F</x:v>
      </x:c>
      <x:c r="S119" s="56" t="str">
        <x:v>1F</x:v>
      </x:c>
      <x:c r="T119" s="56" t="str">
        <x:v>1F</x:v>
      </x:c>
      <x:c r="U119" s="56" t="str">
        <x:v>1F</x:v>
      </x:c>
      <x:c r="V119" s="56" t="str">
        <x:v>1F</x:v>
      </x:c>
      <x:c r="W119" s="56" t="str">
        <x:f>IF(INDEX('週間仮シフト'!I$7:I$78,MATCH(A119,'週間仮シフト'!$A$7:$A$78,0))="夜","一致","不一致")</x:f>
        <x:v>一致</x:v>
      </x:c>
    </x:row>
    <x:row r="120" ht="26" customHeight="1">
      <x:c r="A120" s="56" t="str">
        <x:v>2F-07</x:v>
      </x:c>
      <x:c r="B120" s="56" t="str">
        <x:v>2F</x:v>
      </x:c>
      <x:c r="C120" s="56" t="str">
        <x:v>2F</x:v>
      </x:c>
      <x:c r="D120" s="56" t="str">
        <x:v>2F</x:v>
      </x:c>
      <x:c r="E120" s="56" t="str">
        <x:v>2F</x:v>
      </x:c>
      <x:c r="F120" s="56" t="str">
        <x:v>2F</x:v>
      </x:c>
      <x:c r="G120" s="56" t="str">
        <x:v>仮眠</x:v>
      </x:c>
      <x:c r="H120" s="56" t="str">
        <x:v>仮眠</x:v>
      </x:c>
      <x:c r="I120" s="56" t="str">
        <x:v>仮眠</x:v>
      </x:c>
      <x:c r="J120" s="56" t="str">
        <x:v>仮眠</x:v>
      </x:c>
      <x:c r="K120" s="56" t="str">
        <x:v>2F</x:v>
      </x:c>
      <x:c r="L120" s="56" t="str">
        <x:v>2F</x:v>
      </x:c>
      <x:c r="M120" s="56" t="str">
        <x:v>2F</x:v>
      </x:c>
      <x:c r="N120" s="56" t="str">
        <x:v>2F</x:v>
      </x:c>
      <x:c r="O120" s="56" t="str">
        <x:v>2F</x:v>
      </x:c>
      <x:c r="P120" s="56" t="str">
        <x:v>2F</x:v>
      </x:c>
      <x:c r="Q120" s="56" t="str">
        <x:v>2F</x:v>
      </x:c>
      <x:c r="R120" s="56" t="str">
        <x:v>2F</x:v>
      </x:c>
      <x:c r="S120" s="56" t="str">
        <x:v>2F</x:v>
      </x:c>
      <x:c r="T120" s="56" t="str">
        <x:v>2F</x:v>
      </x:c>
      <x:c r="U120" s="56" t="str">
        <x:v>2F</x:v>
      </x:c>
      <x:c r="V120" s="56" t="str">
        <x:v>2F</x:v>
      </x:c>
      <x:c r="W120" s="56" t="str">
        <x:f>IF(INDEX('週間仮シフト'!I$7:I$78,MATCH(A120,'週間仮シフト'!$A$7:$A$78,0))="夜","一致","不一致")</x:f>
        <x:v>一致</x:v>
      </x:c>
    </x:row>
    <x:row r="121" ht="26" customHeight="1">
      <x:c r="A121" s="56" t="str">
        <x:v>2F-08</x:v>
      </x:c>
      <x:c r="B121" s="56" t="str">
        <x:v>2F</x:v>
      </x:c>
      <x:c r="C121" s="56" t="str">
        <x:v>2F</x:v>
      </x:c>
      <x:c r="D121" s="56" t="str">
        <x:v>2F</x:v>
      </x:c>
      <x:c r="E121" s="56" t="str">
        <x:v>2F</x:v>
      </x:c>
      <x:c r="F121" s="56" t="str">
        <x:v>2F</x:v>
      </x:c>
      <x:c r="G121" s="56" t="str">
        <x:v>2F</x:v>
      </x:c>
      <x:c r="H121" s="56" t="str">
        <x:v>2F</x:v>
      </x:c>
      <x:c r="I121" s="56" t="str">
        <x:v>仮眠</x:v>
      </x:c>
      <x:c r="J121" s="56" t="str">
        <x:v>仮眠</x:v>
      </x:c>
      <x:c r="K121" s="56" t="str">
        <x:v>仮眠</x:v>
      </x:c>
      <x:c r="L121" s="56" t="str">
        <x:v>仮眠</x:v>
      </x:c>
      <x:c r="M121" s="56" t="str">
        <x:v>2F</x:v>
      </x:c>
      <x:c r="N121" s="56" t="str">
        <x:v>2F</x:v>
      </x:c>
      <x:c r="O121" s="56" t="str">
        <x:v>2F</x:v>
      </x:c>
      <x:c r="P121" s="56" t="str">
        <x:v>2F</x:v>
      </x:c>
      <x:c r="Q121" s="56" t="str">
        <x:v>2F</x:v>
      </x:c>
      <x:c r="R121" s="56" t="str">
        <x:v>2F</x:v>
      </x:c>
      <x:c r="S121" s="56" t="str">
        <x:v>2F</x:v>
      </x:c>
      <x:c r="T121" s="56" t="str">
        <x:v>2F</x:v>
      </x:c>
      <x:c r="U121" s="56" t="str">
        <x:v>2F</x:v>
      </x:c>
      <x:c r="V121" s="56" t="str">
        <x:v>2F</x:v>
      </x:c>
      <x:c r="W121" s="56" t="str">
        <x:f>IF(INDEX('週間仮シフト'!I$7:I$78,MATCH(A121,'週間仮シフト'!$A$7:$A$78,0))="夜","一致","不一致")</x:f>
        <x:v>一致</x:v>
      </x:c>
    </x:row>
    <x:row r="122" ht="26" customHeight="1">
      <x:c r="A122" s="56" t="str">
        <x:v>3F-09</x:v>
      </x:c>
      <x:c r="B122" s="56" t="str">
        <x:v>3F</x:v>
      </x:c>
      <x:c r="C122" s="56" t="str">
        <x:v>3F</x:v>
      </x:c>
      <x:c r="D122" s="56" t="str">
        <x:v>3F</x:v>
      </x:c>
      <x:c r="E122" s="56" t="str">
        <x:v>3F</x:v>
      </x:c>
      <x:c r="F122" s="56" t="str">
        <x:v>3F</x:v>
      </x:c>
      <x:c r="G122" s="56" t="str">
        <x:v>3F</x:v>
      </x:c>
      <x:c r="H122" s="56" t="str">
        <x:v>3F</x:v>
      </x:c>
      <x:c r="I122" s="56" t="str">
        <x:v>3F</x:v>
      </x:c>
      <x:c r="J122" s="56" t="str">
        <x:v>3F</x:v>
      </x:c>
      <x:c r="K122" s="56" t="str">
        <x:v>仮眠</x:v>
      </x:c>
      <x:c r="L122" s="56" t="str">
        <x:v>仮眠</x:v>
      </x:c>
      <x:c r="M122" s="56" t="str">
        <x:v>仮眠</x:v>
      </x:c>
      <x:c r="N122" s="56" t="str">
        <x:v>仮眠</x:v>
      </x:c>
      <x:c r="O122" s="56" t="str">
        <x:v>3F</x:v>
      </x:c>
      <x:c r="P122" s="56" t="str">
        <x:v>3F</x:v>
      </x:c>
      <x:c r="Q122" s="56" t="str">
        <x:v>3F</x:v>
      </x:c>
      <x:c r="R122" s="56" t="str">
        <x:v>3F</x:v>
      </x:c>
      <x:c r="S122" s="56" t="str">
        <x:v>3F</x:v>
      </x:c>
      <x:c r="T122" s="56" t="str">
        <x:v>3F</x:v>
      </x:c>
      <x:c r="U122" s="56" t="str">
        <x:v>3F</x:v>
      </x:c>
      <x:c r="V122" s="56" t="str">
        <x:v>3F</x:v>
      </x:c>
      <x:c r="W122" s="56" t="str">
        <x:f>IF(INDEX('週間仮シフト'!I$7:I$78,MATCH(A122,'週間仮シフト'!$A$7:$A$78,0))="夜","一致","不一致")</x:f>
        <x:v>一致</x:v>
      </x:c>
    </x:row>
    <x:row r="123" ht="26" customHeight="1">
      <x:c r="A123" s="56" t="str">
        <x:v>3F-12</x:v>
      </x:c>
      <x:c r="B123" s="56" t="str">
        <x:v>3F</x:v>
      </x:c>
      <x:c r="C123" s="56" t="str">
        <x:v>3F</x:v>
      </x:c>
      <x:c r="D123" s="56" t="str">
        <x:v>3F</x:v>
      </x:c>
      <x:c r="E123" s="56" t="str">
        <x:v>3F</x:v>
      </x:c>
      <x:c r="F123" s="56" t="str">
        <x:v>3F</x:v>
      </x:c>
      <x:c r="G123" s="56" t="str">
        <x:v>3F</x:v>
      </x:c>
      <x:c r="H123" s="56" t="str">
        <x:v>3F</x:v>
      </x:c>
      <x:c r="I123" s="56" t="str">
        <x:v>3F</x:v>
      </x:c>
      <x:c r="J123" s="56" t="str">
        <x:v>3F</x:v>
      </x:c>
      <x:c r="K123" s="56" t="str">
        <x:v>3F</x:v>
      </x:c>
      <x:c r="L123" s="56" t="str">
        <x:v>3F</x:v>
      </x:c>
      <x:c r="M123" s="56" t="str">
        <x:v>仮眠</x:v>
      </x:c>
      <x:c r="N123" s="56" t="str">
        <x:v>仮眠</x:v>
      </x:c>
      <x:c r="O123" s="56" t="str">
        <x:v>仮眠</x:v>
      </x:c>
      <x:c r="P123" s="56" t="str">
        <x:v>仮眠</x:v>
      </x:c>
      <x:c r="Q123" s="56" t="str">
        <x:v>3F</x:v>
      </x:c>
      <x:c r="R123" s="56" t="str">
        <x:v>3F</x:v>
      </x:c>
      <x:c r="S123" s="56" t="str">
        <x:v>3F</x:v>
      </x:c>
      <x:c r="T123" s="56" t="str">
        <x:v>3F</x:v>
      </x:c>
      <x:c r="U123" s="56" t="str">
        <x:v>3F</x:v>
      </x:c>
      <x:c r="V123" s="56" t="str">
        <x:v>3F</x:v>
      </x:c>
      <x:c r="W123" s="56" t="str">
        <x:f>IF(INDEX('週間仮シフト'!I$7:I$78,MATCH(A123,'週間仮シフト'!$A$7:$A$78,0))="夜","一致","不一致")</x:f>
        <x:v>一致</x:v>
      </x:c>
    </x:row>
    <x:row r="124" ht="26" customHeight="1">
      <x:c r="A124" s="56" t="str">
        <x:v>2F-03</x:v>
      </x:c>
      <x:c r="B124" s="56" t="str">
        <x:v>統括</x:v>
      </x:c>
      <x:c r="C124" s="56" t="str">
        <x:v>1F</x:v>
      </x:c>
      <x:c r="D124" s="56" t="str">
        <x:v>1F</x:v>
      </x:c>
      <x:c r="E124" s="56" t="str">
        <x:v>1F</x:v>
      </x:c>
      <x:c r="F124" s="56" t="str">
        <x:v>1F</x:v>
      </x:c>
      <x:c r="G124" s="56" t="str">
        <x:v>2F</x:v>
      </x:c>
      <x:c r="H124" s="56" t="str">
        <x:v>2F</x:v>
      </x:c>
      <x:c r="I124" s="56" t="str">
        <x:v>2F</x:v>
      </x:c>
      <x:c r="J124" s="56" t="str">
        <x:v>2F</x:v>
      </x:c>
      <x:c r="K124" s="56" t="str">
        <x:v>3F</x:v>
      </x:c>
      <x:c r="L124" s="56" t="str">
        <x:v>3F</x:v>
      </x:c>
      <x:c r="M124" s="56" t="str">
        <x:v>3F</x:v>
      </x:c>
      <x:c r="N124" s="56" t="str">
        <x:v>3F</x:v>
      </x:c>
      <x:c r="O124" s="56" t="str">
        <x:v>仮眠</x:v>
      </x:c>
      <x:c r="P124" s="56" t="str">
        <x:v>仮眠</x:v>
      </x:c>
      <x:c r="Q124" s="56" t="str">
        <x:v>仮眠</x:v>
      </x:c>
      <x:c r="R124" s="56" t="str">
        <x:v>仮眠</x:v>
      </x:c>
      <x:c r="S124" s="56" t="str">
        <x:v>統括</x:v>
      </x:c>
      <x:c r="T124" s="56" t="str">
        <x:v>統括</x:v>
      </x:c>
      <x:c r="U124" s="56" t="str">
        <x:v>統括</x:v>
      </x:c>
      <x:c r="V124" s="56" t="str">
        <x:v>統括</x:v>
      </x:c>
      <x:c r="W124" s="56" t="str">
        <x:f>IF(INDEX('週間仮シフト'!I$7:I$78,MATCH(A124,'週間仮シフト'!$A$7:$A$78,0))="統","一致","不一致")</x:f>
        <x:v>一致</x:v>
      </x:c>
    </x:row>
    <x:row r="125" ht="26" customHeight="1">
      <x:c r="A125" s="56" t="str">
        <x:v>2F-04</x:v>
      </x:c>
      <x:c r="B125" s="56" t="str">
        <x:v>統括</x:v>
      </x:c>
      <x:c r="C125" s="56" t="str">
        <x:v>統括</x:v>
      </x:c>
      <x:c r="D125" s="56" t="str">
        <x:v>統括</x:v>
      </x:c>
      <x:c r="E125" s="56" t="str">
        <x:v>統括</x:v>
      </x:c>
      <x:c r="F125" s="56" t="str">
        <x:v>統括</x:v>
      </x:c>
      <x:c r="G125" s="56" t="str">
        <x:v>統括</x:v>
      </x:c>
      <x:c r="H125" s="56" t="str">
        <x:v>統括</x:v>
      </x:c>
      <x:c r="I125" s="56" t="str">
        <x:v>統括</x:v>
      </x:c>
      <x:c r="J125" s="56" t="str">
        <x:v>統括</x:v>
      </x:c>
      <x:c r="K125" s="56" t="str">
        <x:v>統括</x:v>
      </x:c>
      <x:c r="L125" s="56" t="str">
        <x:v>統括</x:v>
      </x:c>
      <x:c r="M125" s="56" t="str">
        <x:v>統括</x:v>
      </x:c>
      <x:c r="N125" s="56" t="str">
        <x:v>統括</x:v>
      </x:c>
      <x:c r="O125" s="56" t="str">
        <x:v>統括</x:v>
      </x:c>
      <x:c r="P125" s="56" t="str">
        <x:v>統括</x:v>
      </x:c>
      <x:c r="Q125" s="56" t="str">
        <x:v>統括</x:v>
      </x:c>
      <x:c r="R125" s="56" t="str">
        <x:v>統括</x:v>
      </x:c>
      <x:c r="S125" s="56" t="str">
        <x:v>仮眠</x:v>
      </x:c>
      <x:c r="T125" s="56" t="str">
        <x:v>仮眠</x:v>
      </x:c>
      <x:c r="U125" s="56" t="str">
        <x:v>仮眠</x:v>
      </x:c>
      <x:c r="V125" s="56" t="str">
        <x:v>仮眠</x:v>
      </x:c>
      <x:c r="W125" s="56" t="str">
        <x:f>IF(INDEX('週間仮シフト'!I$7:I$78,MATCH(A125,'週間仮シフト'!$A$7:$A$78,0))="統","一致","不一致")</x:f>
        <x:v>一致</x:v>
      </x:c>
    </x:row>
    <x:row r="126" ht="26" customHeight="1">
      <x:c r="A126" s="56" t="str">
        <x:v>1F-23</x:v>
      </x:c>
      <x:c r="B126" s="56" t="str">
        <x:v>短時間</x:v>
      </x:c>
      <x:c r="C126" s="56" t="str">
        <x:v>非勤務</x:v>
      </x:c>
      <x:c r="D126" s="56" t="str">
        <x:v>非勤務</x:v>
      </x:c>
      <x:c r="E126" s="56" t="str">
        <x:v>1F</x:v>
      </x:c>
      <x:c r="F126" s="56" t="str">
        <x:v>1F</x:v>
      </x:c>
      <x:c r="G126" s="56" t="str">
        <x:v>1F</x:v>
      </x:c>
      <x:c r="H126" s="56" t="str">
        <x:v>1F</x:v>
      </x:c>
      <x:c r="I126" s="56" t="str">
        <x:v>2F</x:v>
      </x:c>
      <x:c r="J126" s="56" t="str">
        <x:v>2F</x:v>
      </x:c>
      <x:c r="K126" s="56" t="str">
        <x:v>非勤務</x:v>
      </x:c>
      <x:c r="L126" s="56" t="str">
        <x:v>非勤務</x:v>
      </x:c>
      <x:c r="M126" s="56" t="str">
        <x:v>非勤務</x:v>
      </x:c>
      <x:c r="N126" s="56" t="str">
        <x:v>非勤務</x:v>
      </x:c>
      <x:c r="O126" s="56" t="str">
        <x:v>非勤務</x:v>
      </x:c>
      <x:c r="P126" s="56" t="str">
        <x:v>非勤務</x:v>
      </x:c>
      <x:c r="Q126" s="56" t="str">
        <x:v>非勤務</x:v>
      </x:c>
      <x:c r="R126" s="56" t="str">
        <x:v>非勤務</x:v>
      </x:c>
      <x:c r="S126" s="56" t="str">
        <x:v>非勤務</x:v>
      </x:c>
      <x:c r="T126" s="56" t="str">
        <x:v>非勤務</x:v>
      </x:c>
      <x:c r="U126" s="56" t="str">
        <x:v>非勤務</x:v>
      </x:c>
      <x:c r="V126" s="56" t="str">
        <x:v>非勤務</x:v>
      </x:c>
      <x:c r="W126" s="56" t="str">
        <x:f>IF(INDEX('週間仮シフト'!I$7:I$78,MATCH(A126,'週間仮シフト'!$A$7:$A$78,0))="短A","一致","不一致")</x:f>
        <x:v>一致</x:v>
      </x:c>
    </x:row>
    <x:row r="127" ht="26" customHeight="1">
      <x:c r="A127" s="56" t="str">
        <x:v>3F-24</x:v>
      </x:c>
      <x:c r="B127" s="56" t="str">
        <x:v>短時間</x:v>
      </x:c>
      <x:c r="C127" s="56" t="str">
        <x:v>非勤務</x:v>
      </x:c>
      <x:c r="D127" s="56" t="str">
        <x:v>非勤務</x:v>
      </x:c>
      <x:c r="E127" s="56" t="str">
        <x:v>非勤務</x:v>
      </x:c>
      <x:c r="F127" s="56" t="str">
        <x:v>非勤務</x:v>
      </x:c>
      <x:c r="G127" s="56" t="str">
        <x:v>非勤務</x:v>
      </x:c>
      <x:c r="H127" s="56" t="str">
        <x:v>非勤務</x:v>
      </x:c>
      <x:c r="I127" s="56" t="str">
        <x:v>非勤務</x:v>
      </x:c>
      <x:c r="J127" s="56" t="str">
        <x:v>非勤務</x:v>
      </x:c>
      <x:c r="K127" s="56" t="str">
        <x:v>2F</x:v>
      </x:c>
      <x:c r="L127" s="56" t="str">
        <x:v>2F</x:v>
      </x:c>
      <x:c r="M127" s="56" t="str">
        <x:v>3F</x:v>
      </x:c>
      <x:c r="N127" s="56" t="str">
        <x:v>3F</x:v>
      </x:c>
      <x:c r="O127" s="56" t="str">
        <x:v>3F</x:v>
      </x:c>
      <x:c r="P127" s="56" t="str">
        <x:v>3F</x:v>
      </x:c>
      <x:c r="Q127" s="56" t="str">
        <x:v>非勤務</x:v>
      </x:c>
      <x:c r="R127" s="56" t="str">
        <x:v>非勤務</x:v>
      </x:c>
      <x:c r="S127" s="56" t="str">
        <x:v>非勤務</x:v>
      </x:c>
      <x:c r="T127" s="56" t="str">
        <x:v>非勤務</x:v>
      </x:c>
      <x:c r="U127" s="56" t="str">
        <x:v>非勤務</x:v>
      </x:c>
      <x:c r="V127" s="56" t="str">
        <x:v>非勤務</x:v>
      </x:c>
      <x:c r="W127" s="56" t="str">
        <x:f>IF(INDEX('週間仮シフト'!J$7:J$78,MATCH(A127,'週間仮シフト'!$A$7:$A$78,0))="短B","一致","不一致")</x:f>
        <x:v>一致</x:v>
      </x:c>
    </x:row>
    <x:row r="128" ht="26" customHeight="1">
      <x:c r="A128" s="56"/>
      <x:c r="B128" s="56"/>
      <x:c r="C128" s="56"/>
      <x:c r="D128" s="56"/>
      <x:c r="E128" s="56"/>
      <x:c r="F128" s="56"/>
      <x:c r="G128" s="56"/>
      <x:c r="H128" s="56"/>
      <x:c r="I128" s="56"/>
      <x:c r="J128" s="56"/>
      <x:c r="K128" s="56"/>
      <x:c r="L128" s="56"/>
      <x:c r="M128" s="56"/>
      <x:c r="N128" s="56"/>
      <x:c r="O128" s="56"/>
      <x:c r="P128" s="56"/>
      <x:c r="Q128" s="56"/>
      <x:c r="R128" s="56"/>
      <x:c r="S128" s="56"/>
      <x:c r="T128" s="56"/>
      <x:c r="U128" s="56"/>
      <x:c r="V128" s="56"/>
      <x:c r="W128" s="56"/>
    </x:row>
    <x:row r="129" ht="26" customHeight="1">
      <x:c r="A129" s="56" t="str">
        <x:v>1F対応中</x:v>
      </x:c>
      <x:c r="B129" s="56" t="n">
        <x:f>'施設設定'!H17</x:f>
        <x:v>2</x:v>
      </x:c>
      <x:c r="C129" s="56" t="n">
        <x:f>COUNTIFS(C118:C127,"1F",$W118:$W127,"一致")</x:f>
        <x:v>2</x:v>
      </x:c>
      <x:c r="D129" s="56" t="n">
        <x:f>COUNTIFS(D118:D127,"1F",$W118:$W127,"一致")</x:f>
        <x:v>2</x:v>
      </x:c>
      <x:c r="E129" s="56" t="n">
        <x:f>COUNTIFS(E118:E127,"1F",$W118:$W127,"一致")</x:f>
        <x:v>2</x:v>
      </x:c>
      <x:c r="F129" s="56" t="n">
        <x:f>COUNTIFS(F118:F127,"1F",$W118:$W127,"一致")</x:f>
        <x:v>2</x:v>
      </x:c>
      <x:c r="G129" s="56" t="n">
        <x:f>COUNTIFS(G118:G127,"1F",$W118:$W127,"一致")</x:f>
        <x:v>2</x:v>
      </x:c>
      <x:c r="H129" s="56" t="n">
        <x:f>COUNTIFS(H118:H127,"1F",$W118:$W127,"一致")</x:f>
        <x:v>2</x:v>
      </x:c>
      <x:c r="I129" s="56" t="n">
        <x:f>COUNTIFS(I118:I127,"1F",$W118:$W127,"一致")</x:f>
        <x:v>2</x:v>
      </x:c>
      <x:c r="J129" s="56" t="n">
        <x:f>COUNTIFS(J118:J127,"1F",$W118:$W127,"一致")</x:f>
        <x:v>2</x:v>
      </x:c>
      <x:c r="K129" s="56" t="n">
        <x:f>COUNTIFS(K118:K127,"1F",$W118:$W127,"一致")</x:f>
        <x:v>2</x:v>
      </x:c>
      <x:c r="L129" s="56" t="n">
        <x:f>COUNTIFS(L118:L127,"1F",$W118:$W127,"一致")</x:f>
        <x:v>2</x:v>
      </x:c>
      <x:c r="M129" s="56" t="n">
        <x:f>COUNTIFS(M118:M127,"1F",$W118:$W127,"一致")</x:f>
        <x:v>2</x:v>
      </x:c>
      <x:c r="N129" s="56" t="n">
        <x:f>COUNTIFS(N118:N127,"1F",$W118:$W127,"一致")</x:f>
        <x:v>2</x:v>
      </x:c>
      <x:c r="O129" s="56" t="n">
        <x:f>COUNTIFS(O118:O127,"1F",$W118:$W127,"一致")</x:f>
        <x:v>2</x:v>
      </x:c>
      <x:c r="P129" s="56" t="n">
        <x:f>COUNTIFS(P118:P127,"1F",$W118:$W127,"一致")</x:f>
        <x:v>2</x:v>
      </x:c>
      <x:c r="Q129" s="56" t="n">
        <x:f>COUNTIFS(Q118:Q127,"1F",$W118:$W127,"一致")</x:f>
        <x:v>2</x:v>
      </x:c>
      <x:c r="R129" s="56" t="n">
        <x:f>COUNTIFS(R118:R127,"1F",$W118:$W127,"一致")</x:f>
        <x:v>2</x:v>
      </x:c>
      <x:c r="S129" s="56" t="n">
        <x:f>COUNTIFS(S118:S127,"1F",$W118:$W127,"一致")</x:f>
        <x:v>2</x:v>
      </x:c>
      <x:c r="T129" s="56" t="n">
        <x:f>COUNTIFS(T118:T127,"1F",$W118:$W127,"一致")</x:f>
        <x:v>2</x:v>
      </x:c>
      <x:c r="U129" s="56" t="n">
        <x:f>COUNTIFS(U118:U127,"1F",$W118:$W127,"一致")</x:f>
        <x:v>2</x:v>
      </x:c>
      <x:c r="V129" s="56" t="n">
        <x:f>COUNTIFS(V118:V127,"1F",$W118:$W127,"一致")</x:f>
        <x:v>2</x:v>
      </x:c>
      <x:c r="W129" s="56"/>
    </x:row>
    <x:row r="130" ht="26" customHeight="1">
      <x:c r="A130" s="56" t="str">
        <x:v>2F対応中</x:v>
      </x:c>
      <x:c r="B130" s="56" t="n">
        <x:f>'施設設定'!H18</x:f>
        <x:v>2</x:v>
      </x:c>
      <x:c r="C130" s="56" t="n">
        <x:f>COUNTIFS(C118:C127,"2F",$W118:$W127,"一致")</x:f>
        <x:v>2</x:v>
      </x:c>
      <x:c r="D130" s="56" t="n">
        <x:f>COUNTIFS(D118:D127,"2F",$W118:$W127,"一致")</x:f>
        <x:v>2</x:v>
      </x:c>
      <x:c r="E130" s="56" t="n">
        <x:f>COUNTIFS(E118:E127,"2F",$W118:$W127,"一致")</x:f>
        <x:v>2</x:v>
      </x:c>
      <x:c r="F130" s="56" t="n">
        <x:f>COUNTIFS(F118:F127,"2F",$W118:$W127,"一致")</x:f>
        <x:v>2</x:v>
      </x:c>
      <x:c r="G130" s="56" t="n">
        <x:f>COUNTIFS(G118:G127,"2F",$W118:$W127,"一致")</x:f>
        <x:v>2</x:v>
      </x:c>
      <x:c r="H130" s="56" t="n">
        <x:f>COUNTIFS(H118:H127,"2F",$W118:$W127,"一致")</x:f>
        <x:v>2</x:v>
      </x:c>
      <x:c r="I130" s="56" t="n">
        <x:f>COUNTIFS(I118:I127,"2F",$W118:$W127,"一致")</x:f>
        <x:v>2</x:v>
      </x:c>
      <x:c r="J130" s="56" t="n">
        <x:f>COUNTIFS(J118:J127,"2F",$W118:$W127,"一致")</x:f>
        <x:v>2</x:v>
      </x:c>
      <x:c r="K130" s="56" t="n">
        <x:f>COUNTIFS(K118:K127,"2F",$W118:$W127,"一致")</x:f>
        <x:v>2</x:v>
      </x:c>
      <x:c r="L130" s="56" t="n">
        <x:f>COUNTIFS(L118:L127,"2F",$W118:$W127,"一致")</x:f>
        <x:v>2</x:v>
      </x:c>
      <x:c r="M130" s="56" t="n">
        <x:f>COUNTIFS(M118:M127,"2F",$W118:$W127,"一致")</x:f>
        <x:v>2</x:v>
      </x:c>
      <x:c r="N130" s="56" t="n">
        <x:f>COUNTIFS(N118:N127,"2F",$W118:$W127,"一致")</x:f>
        <x:v>2</x:v>
      </x:c>
      <x:c r="O130" s="56" t="n">
        <x:f>COUNTIFS(O118:O127,"2F",$W118:$W127,"一致")</x:f>
        <x:v>2</x:v>
      </x:c>
      <x:c r="P130" s="56" t="n">
        <x:f>COUNTIFS(P118:P127,"2F",$W118:$W127,"一致")</x:f>
        <x:v>2</x:v>
      </x:c>
      <x:c r="Q130" s="56" t="n">
        <x:f>COUNTIFS(Q118:Q127,"2F",$W118:$W127,"一致")</x:f>
        <x:v>2</x:v>
      </x:c>
      <x:c r="R130" s="56" t="n">
        <x:f>COUNTIFS(R118:R127,"2F",$W118:$W127,"一致")</x:f>
        <x:v>2</x:v>
      </x:c>
      <x:c r="S130" s="56" t="n">
        <x:f>COUNTIFS(S118:S127,"2F",$W118:$W127,"一致")</x:f>
        <x:v>2</x:v>
      </x:c>
      <x:c r="T130" s="56" t="n">
        <x:f>COUNTIFS(T118:T127,"2F",$W118:$W127,"一致")</x:f>
        <x:v>2</x:v>
      </x:c>
      <x:c r="U130" s="56" t="n">
        <x:f>COUNTIFS(U118:U127,"2F",$W118:$W127,"一致")</x:f>
        <x:v>2</x:v>
      </x:c>
      <x:c r="V130" s="56" t="n">
        <x:f>COUNTIFS(V118:V127,"2F",$W118:$W127,"一致")</x:f>
        <x:v>2</x:v>
      </x:c>
      <x:c r="W130" s="56"/>
    </x:row>
    <x:row r="131" ht="26" customHeight="1">
      <x:c r="A131" s="56" t="str">
        <x:v>3F対応中</x:v>
      </x:c>
      <x:c r="B131" s="56" t="n">
        <x:f>'施設設定'!H19</x:f>
        <x:v>2</x:v>
      </x:c>
      <x:c r="C131" s="56" t="n">
        <x:f>COUNTIFS(C118:C127,"3F",$W118:$W127,"一致")</x:f>
        <x:v>2</x:v>
      </x:c>
      <x:c r="D131" s="56" t="n">
        <x:f>COUNTIFS(D118:D127,"3F",$W118:$W127,"一致")</x:f>
        <x:v>2</x:v>
      </x:c>
      <x:c r="E131" s="56" t="n">
        <x:f>COUNTIFS(E118:E127,"3F",$W118:$W127,"一致")</x:f>
        <x:v>2</x:v>
      </x:c>
      <x:c r="F131" s="56" t="n">
        <x:f>COUNTIFS(F118:F127,"3F",$W118:$W127,"一致")</x:f>
        <x:v>2</x:v>
      </x:c>
      <x:c r="G131" s="56" t="n">
        <x:f>COUNTIFS(G118:G127,"3F",$W118:$W127,"一致")</x:f>
        <x:v>2</x:v>
      </x:c>
      <x:c r="H131" s="56" t="n">
        <x:f>COUNTIFS(H118:H127,"3F",$W118:$W127,"一致")</x:f>
        <x:v>2</x:v>
      </x:c>
      <x:c r="I131" s="56" t="n">
        <x:f>COUNTIFS(I118:I127,"3F",$W118:$W127,"一致")</x:f>
        <x:v>2</x:v>
      </x:c>
      <x:c r="J131" s="56" t="n">
        <x:f>COUNTIFS(J118:J127,"3F",$W118:$W127,"一致")</x:f>
        <x:v>2</x:v>
      </x:c>
      <x:c r="K131" s="56" t="n">
        <x:f>COUNTIFS(K118:K127,"3F",$W118:$W127,"一致")</x:f>
        <x:v>2</x:v>
      </x:c>
      <x:c r="L131" s="56" t="n">
        <x:f>COUNTIFS(L118:L127,"3F",$W118:$W127,"一致")</x:f>
        <x:v>2</x:v>
      </x:c>
      <x:c r="M131" s="56" t="n">
        <x:f>COUNTIFS(M118:M127,"3F",$W118:$W127,"一致")</x:f>
        <x:v>2</x:v>
      </x:c>
      <x:c r="N131" s="56" t="n">
        <x:f>COUNTIFS(N118:N127,"3F",$W118:$W127,"一致")</x:f>
        <x:v>2</x:v>
      </x:c>
      <x:c r="O131" s="56" t="n">
        <x:f>COUNTIFS(O118:O127,"3F",$W118:$W127,"一致")</x:f>
        <x:v>2</x:v>
      </x:c>
      <x:c r="P131" s="56" t="n">
        <x:f>COUNTIFS(P118:P127,"3F",$W118:$W127,"一致")</x:f>
        <x:v>2</x:v>
      </x:c>
      <x:c r="Q131" s="56" t="n">
        <x:f>COUNTIFS(Q118:Q127,"3F",$W118:$W127,"一致")</x:f>
        <x:v>2</x:v>
      </x:c>
      <x:c r="R131" s="56" t="n">
        <x:f>COUNTIFS(R118:R127,"3F",$W118:$W127,"一致")</x:f>
        <x:v>2</x:v>
      </x:c>
      <x:c r="S131" s="56" t="n">
        <x:f>COUNTIFS(S118:S127,"3F",$W118:$W127,"一致")</x:f>
        <x:v>2</x:v>
      </x:c>
      <x:c r="T131" s="56" t="n">
        <x:f>COUNTIFS(T118:T127,"3F",$W118:$W127,"一致")</x:f>
        <x:v>2</x:v>
      </x:c>
      <x:c r="U131" s="56" t="n">
        <x:f>COUNTIFS(U118:U127,"3F",$W118:$W127,"一致")</x:f>
        <x:v>2</x:v>
      </x:c>
      <x:c r="V131" s="56" t="n">
        <x:f>COUNTIFS(V118:V127,"3F",$W118:$W127,"一致")</x:f>
        <x:v>2</x:v>
      </x:c>
      <x:c r="W131" s="56"/>
    </x:row>
    <x:row r="132" ht="26" customHeight="1">
      <x:c r="A132" s="56" t="str">
        <x:v>自由な統括</x:v>
      </x:c>
      <x:c r="B132" s="56" t="n">
        <x:f>'施設設定'!B12</x:f>
        <x:v>1</x:v>
      </x:c>
      <x:c r="C132" s="56" t="n">
        <x:f>COUNTIFS(C118:C127,"統括",$W118:$W127,"一致")</x:f>
        <x:v>1</x:v>
      </x:c>
      <x:c r="D132" s="56" t="n">
        <x:f>COUNTIFS(D118:D127,"統括",$W118:$W127,"一致")</x:f>
        <x:v>1</x:v>
      </x:c>
      <x:c r="E132" s="56" t="n">
        <x:f>COUNTIFS(E118:E127,"統括",$W118:$W127,"一致")</x:f>
        <x:v>1</x:v>
      </x:c>
      <x:c r="F132" s="56" t="n">
        <x:f>COUNTIFS(F118:F127,"統括",$W118:$W127,"一致")</x:f>
        <x:v>1</x:v>
      </x:c>
      <x:c r="G132" s="56" t="n">
        <x:f>COUNTIFS(G118:G127,"統括",$W118:$W127,"一致")</x:f>
        <x:v>1</x:v>
      </x:c>
      <x:c r="H132" s="56" t="n">
        <x:f>COUNTIFS(H118:H127,"統括",$W118:$W127,"一致")</x:f>
        <x:v>1</x:v>
      </x:c>
      <x:c r="I132" s="56" t="n">
        <x:f>COUNTIFS(I118:I127,"統括",$W118:$W127,"一致")</x:f>
        <x:v>1</x:v>
      </x:c>
      <x:c r="J132" s="56" t="n">
        <x:f>COUNTIFS(J118:J127,"統括",$W118:$W127,"一致")</x:f>
        <x:v>1</x:v>
      </x:c>
      <x:c r="K132" s="56" t="n">
        <x:f>COUNTIFS(K118:K127,"統括",$W118:$W127,"一致")</x:f>
        <x:v>1</x:v>
      </x:c>
      <x:c r="L132" s="56" t="n">
        <x:f>COUNTIFS(L118:L127,"統括",$W118:$W127,"一致")</x:f>
        <x:v>1</x:v>
      </x:c>
      <x:c r="M132" s="56" t="n">
        <x:f>COUNTIFS(M118:M127,"統括",$W118:$W127,"一致")</x:f>
        <x:v>1</x:v>
      </x:c>
      <x:c r="N132" s="56" t="n">
        <x:f>COUNTIFS(N118:N127,"統括",$W118:$W127,"一致")</x:f>
        <x:v>1</x:v>
      </x:c>
      <x:c r="O132" s="56" t="n">
        <x:f>COUNTIFS(O118:O127,"統括",$W118:$W127,"一致")</x:f>
        <x:v>1</x:v>
      </x:c>
      <x:c r="P132" s="56" t="n">
        <x:f>COUNTIFS(P118:P127,"統括",$W118:$W127,"一致")</x:f>
        <x:v>1</x:v>
      </x:c>
      <x:c r="Q132" s="56" t="n">
        <x:f>COUNTIFS(Q118:Q127,"統括",$W118:$W127,"一致")</x:f>
        <x:v>1</x:v>
      </x:c>
      <x:c r="R132" s="56" t="n">
        <x:f>COUNTIFS(R118:R127,"統括",$W118:$W127,"一致")</x:f>
        <x:v>1</x:v>
      </x:c>
      <x:c r="S132" s="56" t="n">
        <x:f>COUNTIFS(S118:S127,"統括",$W118:$W127,"一致")</x:f>
        <x:v>1</x:v>
      </x:c>
      <x:c r="T132" s="56" t="n">
        <x:f>COUNTIFS(T118:T127,"統括",$W118:$W127,"一致")</x:f>
        <x:v>1</x:v>
      </x:c>
      <x:c r="U132" s="56" t="n">
        <x:f>COUNTIFS(U118:U127,"統括",$W118:$W127,"一致")</x:f>
        <x:v>1</x:v>
      </x:c>
      <x:c r="V132" s="56" t="n">
        <x:f>COUNTIFS(V118:V127,"統括",$W118:$W127,"一致")</x:f>
        <x:v>1</x:v>
      </x:c>
      <x:c r="W132" s="56"/>
    </x:row>
    <x:row r="133" ht="26" customHeight="1">
      <x:c r="A133" s="56" t="str">
        <x:v>配置判定</x:v>
      </x:c>
      <x:c r="B133" s="56"/>
      <x:c r="C133" s="56" t="str">
        <x:f>IF(AND(C129&gt;=$B129,C130&gt;=$B130,C131&gt;=$B131,C132&gt;=$B132),"充足","不足")</x:f>
        <x:v>充足</x:v>
      </x:c>
      <x:c r="D133" s="56" t="str">
        <x:f>IF(AND(D129&gt;=$B129,D130&gt;=$B130,D131&gt;=$B131,D132&gt;=$B132),"充足","不足")</x:f>
        <x:v>充足</x:v>
      </x:c>
      <x:c r="E133" s="56" t="str">
        <x:f>IF(AND(E129&gt;=$B129,E130&gt;=$B130,E131&gt;=$B131,E132&gt;=$B132),"充足","不足")</x:f>
        <x:v>充足</x:v>
      </x:c>
      <x:c r="F133" s="56" t="str">
        <x:f>IF(AND(F129&gt;=$B129,F130&gt;=$B130,F131&gt;=$B131,F132&gt;=$B132),"充足","不足")</x:f>
        <x:v>充足</x:v>
      </x:c>
      <x:c r="G133" s="56" t="str">
        <x:f>IF(AND(G129&gt;=$B129,G130&gt;=$B130,G131&gt;=$B131,G132&gt;=$B132),"充足","不足")</x:f>
        <x:v>充足</x:v>
      </x:c>
      <x:c r="H133" s="56" t="str">
        <x:f>IF(AND(H129&gt;=$B129,H130&gt;=$B130,H131&gt;=$B131,H132&gt;=$B132),"充足","不足")</x:f>
        <x:v>充足</x:v>
      </x:c>
      <x:c r="I133" s="56" t="str">
        <x:f>IF(AND(I129&gt;=$B129,I130&gt;=$B130,I131&gt;=$B131,I132&gt;=$B132),"充足","不足")</x:f>
        <x:v>充足</x:v>
      </x:c>
      <x:c r="J133" s="56" t="str">
        <x:f>IF(AND(J129&gt;=$B129,J130&gt;=$B130,J131&gt;=$B131,J132&gt;=$B132),"充足","不足")</x:f>
        <x:v>充足</x:v>
      </x:c>
      <x:c r="K133" s="56" t="str">
        <x:f>IF(AND(K129&gt;=$B129,K130&gt;=$B130,K131&gt;=$B131,K132&gt;=$B132),"充足","不足")</x:f>
        <x:v>充足</x:v>
      </x:c>
      <x:c r="L133" s="56" t="str">
        <x:f>IF(AND(L129&gt;=$B129,L130&gt;=$B130,L131&gt;=$B131,L132&gt;=$B132),"充足","不足")</x:f>
        <x:v>充足</x:v>
      </x:c>
      <x:c r="M133" s="56" t="str">
        <x:f>IF(AND(M129&gt;=$B129,M130&gt;=$B130,M131&gt;=$B131,M132&gt;=$B132),"充足","不足")</x:f>
        <x:v>充足</x:v>
      </x:c>
      <x:c r="N133" s="56" t="str">
        <x:f>IF(AND(N129&gt;=$B129,N130&gt;=$B130,N131&gt;=$B131,N132&gt;=$B132),"充足","不足")</x:f>
        <x:v>充足</x:v>
      </x:c>
      <x:c r="O133" s="56" t="str">
        <x:f>IF(AND(O129&gt;=$B129,O130&gt;=$B130,O131&gt;=$B131,O132&gt;=$B132),"充足","不足")</x:f>
        <x:v>充足</x:v>
      </x:c>
      <x:c r="P133" s="56" t="str">
        <x:f>IF(AND(P129&gt;=$B129,P130&gt;=$B130,P131&gt;=$B131,P132&gt;=$B132),"充足","不足")</x:f>
        <x:v>充足</x:v>
      </x:c>
      <x:c r="Q133" s="56" t="str">
        <x:f>IF(AND(Q129&gt;=$B129,Q130&gt;=$B130,Q131&gt;=$B131,Q132&gt;=$B132),"充足","不足")</x:f>
        <x:v>充足</x:v>
      </x:c>
      <x:c r="R133" s="56" t="str">
        <x:f>IF(AND(R129&gt;=$B129,R130&gt;=$B130,R131&gt;=$B131,R132&gt;=$B132),"充足","不足")</x:f>
        <x:v>充足</x:v>
      </x:c>
      <x:c r="S133" s="56" t="str">
        <x:f>IF(AND(S129&gt;=$B129,S130&gt;=$B130,S131&gt;=$B131,S132&gt;=$B132),"充足","不足")</x:f>
        <x:v>充足</x:v>
      </x:c>
      <x:c r="T133" s="56" t="str">
        <x:f>IF(AND(T129&gt;=$B129,T130&gt;=$B130,T131&gt;=$B131,T132&gt;=$B132),"充足","不足")</x:f>
        <x:v>充足</x:v>
      </x:c>
      <x:c r="U133" s="56" t="str">
        <x:f>IF(AND(U129&gt;=$B129,U130&gt;=$B130,U131&gt;=$B131,U132&gt;=$B132),"充足","不足")</x:f>
        <x:v>充足</x:v>
      </x:c>
      <x:c r="V133" s="56" t="str">
        <x:f>IF(AND(V129&gt;=$B129,V130&gt;=$B130,V131&gt;=$B131,V132&gt;=$B132),"充足","不足")</x:f>
        <x:v>充足</x:v>
      </x:c>
      <x:c r="W133" s="56"/>
    </x:row>
    <x:row r="134" ht="26" customHeight="1">
      <x:c r="A134" s="56"/>
      <x:c r="B134" s="56"/>
      <x:c r="C134" s="56"/>
      <x:c r="D134" s="56"/>
      <x:c r="E134" s="56"/>
      <x:c r="F134" s="56"/>
      <x:c r="G134" s="56"/>
      <x:c r="H134" s="56"/>
      <x:c r="I134" s="56"/>
      <x:c r="J134" s="56"/>
      <x:c r="K134" s="56"/>
      <x:c r="L134" s="56"/>
      <x:c r="M134" s="56"/>
      <x:c r="N134" s="56"/>
      <x:c r="O134" s="56"/>
      <x:c r="P134" s="56"/>
      <x:c r="Q134" s="56"/>
      <x:c r="R134" s="56"/>
      <x:c r="S134" s="56"/>
      <x:c r="T134" s="56"/>
      <x:c r="U134" s="56"/>
      <x:c r="V134" s="56"/>
      <x:c r="W134" s="56"/>
    </x:row>
    <x:row r="135" ht="26" customHeight="1">
      <x:c r="A135" s="56"/>
      <x:c r="B135" s="56"/>
      <x:c r="C135" s="56"/>
      <x:c r="D135" s="56"/>
      <x:c r="E135" s="56"/>
      <x:c r="F135" s="56"/>
      <x:c r="G135" s="56"/>
      <x:c r="H135" s="56"/>
      <x:c r="I135" s="56"/>
      <x:c r="J135" s="56"/>
      <x:c r="K135" s="56"/>
      <x:c r="L135" s="56"/>
      <x:c r="M135" s="56"/>
      <x:c r="N135" s="56"/>
      <x:c r="O135" s="56"/>
      <x:c r="P135" s="56"/>
      <x:c r="Q135" s="56"/>
      <x:c r="R135" s="56"/>
      <x:c r="S135" s="56"/>
      <x:c r="T135" s="56"/>
      <x:c r="U135" s="56"/>
      <x:c r="V135" s="56"/>
      <x:c r="W135" s="56"/>
    </x:row>
    <x:row r="136" ht="26" customHeight="1">
      <x:c r="A136" s="56"/>
      <x:c r="B136" s="56"/>
      <x:c r="C136" s="56"/>
      <x:c r="D136" s="56"/>
      <x:c r="E136" s="56"/>
      <x:c r="F136" s="56"/>
      <x:c r="G136" s="56"/>
      <x:c r="H136" s="56"/>
      <x:c r="I136" s="56"/>
      <x:c r="J136" s="56"/>
      <x:c r="K136" s="56"/>
      <x:c r="L136" s="56"/>
      <x:c r="M136" s="56"/>
      <x:c r="N136" s="56"/>
      <x:c r="O136" s="56"/>
      <x:c r="P136" s="56"/>
      <x:c r="Q136" s="56"/>
      <x:c r="R136" s="56"/>
      <x:c r="S136" s="56"/>
      <x:c r="T136" s="56"/>
      <x:c r="U136" s="56"/>
      <x:c r="V136" s="56"/>
      <x:c r="W136" s="56"/>
    </x:row>
    <x:row r="137" ht="26" customHeight="1">
      <x:c r="A137" s="56"/>
      <x:c r="B137" s="56"/>
      <x:c r="C137" s="56"/>
      <x:c r="D137" s="56"/>
      <x:c r="E137" s="56"/>
      <x:c r="F137" s="56"/>
      <x:c r="G137" s="56"/>
      <x:c r="H137" s="56"/>
      <x:c r="I137" s="56"/>
      <x:c r="J137" s="56"/>
      <x:c r="K137" s="56"/>
      <x:c r="L137" s="56"/>
      <x:c r="M137" s="56"/>
      <x:c r="N137" s="56"/>
      <x:c r="O137" s="56"/>
      <x:c r="P137" s="56"/>
      <x:c r="Q137" s="56"/>
      <x:c r="R137" s="56"/>
      <x:c r="S137" s="56"/>
      <x:c r="T137" s="56"/>
      <x:c r="U137" s="56"/>
      <x:c r="V137" s="56"/>
      <x:c r="W137" s="56"/>
    </x:row>
    <x:row r="138" ht="26" customHeight="1">
      <x:c r="A138" s="56" t="str">
        <x:v>10/11（日）開始の夜勤</x:v>
      </x:c>
      <x:c r="B138" s="56"/>
      <x:c r="C138" s="56"/>
      <x:c r="D138" s="56"/>
      <x:c r="E138" s="56"/>
      <x:c r="F138" s="56"/>
      <x:c r="G138" s="56"/>
      <x:c r="H138" s="56"/>
      <x:c r="I138" s="56"/>
      <x:c r="J138" s="56"/>
      <x:c r="K138" s="56"/>
      <x:c r="L138" s="56"/>
      <x:c r="M138" s="56"/>
      <x:c r="N138" s="56"/>
      <x:c r="O138" s="56"/>
      <x:c r="P138" s="56"/>
      <x:c r="Q138" s="56"/>
      <x:c r="R138" s="56"/>
      <x:c r="S138" s="56"/>
      <x:c r="T138" s="56"/>
      <x:c r="U138" s="56"/>
      <x:c r="V138" s="56"/>
      <x:c r="W138" s="56"/>
    </x:row>
    <x:row r="139" ht="40" customHeight="1">
      <x:c r="A139" s="95" t="str">
        <x:v>職員ID</x:v>
      </x:c>
      <x:c r="B139" s="95" t="str">
        <x:v>基本役割</x:v>
      </x:c>
      <x:c r="C139" s="97" t="n">
        <x:v>46306.875</x:v>
      </x:c>
      <x:c r="D139" s="97" t="n">
        <x:v>46306.895833333336</x:v>
      </x:c>
      <x:c r="E139" s="97" t="n">
        <x:v>46306.916666666664</x:v>
      </x:c>
      <x:c r="F139" s="97" t="n">
        <x:v>46306.9375</x:v>
      </x:c>
      <x:c r="G139" s="97" t="n">
        <x:v>46306.958333333336</x:v>
      </x:c>
      <x:c r="H139" s="97" t="n">
        <x:v>46306.979166666664</x:v>
      </x:c>
      <x:c r="I139" s="97" t="n">
        <x:v>46307</x:v>
      </x:c>
      <x:c r="J139" s="97" t="n">
        <x:v>46307.020833333336</x:v>
      </x:c>
      <x:c r="K139" s="97" t="n">
        <x:v>46307.041666666664</x:v>
      </x:c>
      <x:c r="L139" s="97" t="n">
        <x:v>46307.0625</x:v>
      </x:c>
      <x:c r="M139" s="97" t="n">
        <x:v>46307.083333333336</x:v>
      </x:c>
      <x:c r="N139" s="97" t="n">
        <x:v>46307.104166666664</x:v>
      </x:c>
      <x:c r="O139" s="97" t="n">
        <x:v>46307.125</x:v>
      </x:c>
      <x:c r="P139" s="97" t="n">
        <x:v>46307.145833333336</x:v>
      </x:c>
      <x:c r="Q139" s="97" t="n">
        <x:v>46307.166666666664</x:v>
      </x:c>
      <x:c r="R139" s="97" t="n">
        <x:v>46307.1875</x:v>
      </x:c>
      <x:c r="S139" s="97" t="n">
        <x:v>46307.208333333336</x:v>
      </x:c>
      <x:c r="T139" s="97" t="n">
        <x:v>46307.229166666664</x:v>
      </x:c>
      <x:c r="U139" s="97" t="n">
        <x:v>46307.25</x:v>
      </x:c>
      <x:c r="V139" s="97" t="n">
        <x:v>46307.270833333336</x:v>
      </x:c>
      <x:c r="W139" s="95" t="str">
        <x:v>仮シフト一致</x:v>
      </x:c>
    </x:row>
    <x:row r="140" ht="26" customHeight="1">
      <x:c r="A140" s="56" t="str">
        <x:v>1F-09</x:v>
      </x:c>
      <x:c r="B140" s="56" t="str">
        <x:v>1F</x:v>
      </x:c>
      <x:c r="C140" s="56" t="str">
        <x:v>仮眠</x:v>
      </x:c>
      <x:c r="D140" s="56" t="str">
        <x:v>仮眠</x:v>
      </x:c>
      <x:c r="E140" s="56" t="str">
        <x:v>仮眠</x:v>
      </x:c>
      <x:c r="F140" s="56" t="str">
        <x:v>仮眠</x:v>
      </x:c>
      <x:c r="G140" s="56" t="str">
        <x:v>1F</x:v>
      </x:c>
      <x:c r="H140" s="56" t="str">
        <x:v>1F</x:v>
      </x:c>
      <x:c r="I140" s="56" t="str">
        <x:v>1F</x:v>
      </x:c>
      <x:c r="J140" s="56" t="str">
        <x:v>1F</x:v>
      </x:c>
      <x:c r="K140" s="56" t="str">
        <x:v>1F</x:v>
      </x:c>
      <x:c r="L140" s="56" t="str">
        <x:v>1F</x:v>
      </x:c>
      <x:c r="M140" s="56" t="str">
        <x:v>1F</x:v>
      </x:c>
      <x:c r="N140" s="56" t="str">
        <x:v>1F</x:v>
      </x:c>
      <x:c r="O140" s="56" t="str">
        <x:v>1F</x:v>
      </x:c>
      <x:c r="P140" s="56" t="str">
        <x:v>1F</x:v>
      </x:c>
      <x:c r="Q140" s="56" t="str">
        <x:v>1F</x:v>
      </x:c>
      <x:c r="R140" s="56" t="str">
        <x:v>1F</x:v>
      </x:c>
      <x:c r="S140" s="56" t="str">
        <x:v>1F</x:v>
      </x:c>
      <x:c r="T140" s="56" t="str">
        <x:v>1F</x:v>
      </x:c>
      <x:c r="U140" s="56" t="str">
        <x:v>1F</x:v>
      </x:c>
      <x:c r="V140" s="56" t="str">
        <x:v>1F</x:v>
      </x:c>
      <x:c r="W140" s="56" t="str">
        <x:f>IF(INDEX('週間仮シフト'!J$7:J$78,MATCH(A140,'週間仮シフト'!$A$7:$A$78,0))="夜","一致","不一致")</x:f>
        <x:v>一致</x:v>
      </x:c>
    </x:row>
    <x:row r="141" ht="26" customHeight="1">
      <x:c r="A141" s="56" t="str">
        <x:v>1F-10</x:v>
      </x:c>
      <x:c r="B141" s="56" t="str">
        <x:v>1F</x:v>
      </x:c>
      <x:c r="C141" s="56" t="str">
        <x:v>1F</x:v>
      </x:c>
      <x:c r="D141" s="56" t="str">
        <x:v>1F</x:v>
      </x:c>
      <x:c r="E141" s="56" t="str">
        <x:v>仮眠</x:v>
      </x:c>
      <x:c r="F141" s="56" t="str">
        <x:v>仮眠</x:v>
      </x:c>
      <x:c r="G141" s="56" t="str">
        <x:v>仮眠</x:v>
      </x:c>
      <x:c r="H141" s="56" t="str">
        <x:v>仮眠</x:v>
      </x:c>
      <x:c r="I141" s="56" t="str">
        <x:v>1F</x:v>
      </x:c>
      <x:c r="J141" s="56" t="str">
        <x:v>1F</x:v>
      </x:c>
      <x:c r="K141" s="56" t="str">
        <x:v>1F</x:v>
      </x:c>
      <x:c r="L141" s="56" t="str">
        <x:v>1F</x:v>
      </x:c>
      <x:c r="M141" s="56" t="str">
        <x:v>1F</x:v>
      </x:c>
      <x:c r="N141" s="56" t="str">
        <x:v>1F</x:v>
      </x:c>
      <x:c r="O141" s="56" t="str">
        <x:v>1F</x:v>
      </x:c>
      <x:c r="P141" s="56" t="str">
        <x:v>1F</x:v>
      </x:c>
      <x:c r="Q141" s="56" t="str">
        <x:v>1F</x:v>
      </x:c>
      <x:c r="R141" s="56" t="str">
        <x:v>1F</x:v>
      </x:c>
      <x:c r="S141" s="56" t="str">
        <x:v>1F</x:v>
      </x:c>
      <x:c r="T141" s="56" t="str">
        <x:v>1F</x:v>
      </x:c>
      <x:c r="U141" s="56" t="str">
        <x:v>1F</x:v>
      </x:c>
      <x:c r="V141" s="56" t="str">
        <x:v>1F</x:v>
      </x:c>
      <x:c r="W141" s="56" t="str">
        <x:f>IF(INDEX('週間仮シフト'!J$7:J$78,MATCH(A141,'週間仮シフト'!$A$7:$A$78,0))="夜","一致","不一致")</x:f>
        <x:v>一致</x:v>
      </x:c>
    </x:row>
    <x:row r="142" ht="26" customHeight="1">
      <x:c r="A142" s="56" t="str">
        <x:v>2F-05</x:v>
      </x:c>
      <x:c r="B142" s="56" t="str">
        <x:v>2F</x:v>
      </x:c>
      <x:c r="C142" s="56" t="str">
        <x:v>2F</x:v>
      </x:c>
      <x:c r="D142" s="56" t="str">
        <x:v>2F</x:v>
      </x:c>
      <x:c r="E142" s="56" t="str">
        <x:v>2F</x:v>
      </x:c>
      <x:c r="F142" s="56" t="str">
        <x:v>2F</x:v>
      </x:c>
      <x:c r="G142" s="56" t="str">
        <x:v>仮眠</x:v>
      </x:c>
      <x:c r="H142" s="56" t="str">
        <x:v>仮眠</x:v>
      </x:c>
      <x:c r="I142" s="56" t="str">
        <x:v>仮眠</x:v>
      </x:c>
      <x:c r="J142" s="56" t="str">
        <x:v>仮眠</x:v>
      </x:c>
      <x:c r="K142" s="56" t="str">
        <x:v>2F</x:v>
      </x:c>
      <x:c r="L142" s="56" t="str">
        <x:v>2F</x:v>
      </x:c>
      <x:c r="M142" s="56" t="str">
        <x:v>2F</x:v>
      </x:c>
      <x:c r="N142" s="56" t="str">
        <x:v>2F</x:v>
      </x:c>
      <x:c r="O142" s="56" t="str">
        <x:v>2F</x:v>
      </x:c>
      <x:c r="P142" s="56" t="str">
        <x:v>2F</x:v>
      </x:c>
      <x:c r="Q142" s="56" t="str">
        <x:v>2F</x:v>
      </x:c>
      <x:c r="R142" s="56" t="str">
        <x:v>2F</x:v>
      </x:c>
      <x:c r="S142" s="56" t="str">
        <x:v>2F</x:v>
      </x:c>
      <x:c r="T142" s="56" t="str">
        <x:v>2F</x:v>
      </x:c>
      <x:c r="U142" s="56" t="str">
        <x:v>2F</x:v>
      </x:c>
      <x:c r="V142" s="56" t="str">
        <x:v>2F</x:v>
      </x:c>
      <x:c r="W142" s="56" t="str">
        <x:f>IF(INDEX('週間仮シフト'!J$7:J$78,MATCH(A142,'週間仮シフト'!$A$7:$A$78,0))="夜","一致","不一致")</x:f>
        <x:v>一致</x:v>
      </x:c>
    </x:row>
    <x:row r="143" ht="26" customHeight="1">
      <x:c r="A143" s="56" t="str">
        <x:v>2F-06</x:v>
      </x:c>
      <x:c r="B143" s="56" t="str">
        <x:v>2F</x:v>
      </x:c>
      <x:c r="C143" s="56" t="str">
        <x:v>2F</x:v>
      </x:c>
      <x:c r="D143" s="56" t="str">
        <x:v>2F</x:v>
      </x:c>
      <x:c r="E143" s="56" t="str">
        <x:v>2F</x:v>
      </x:c>
      <x:c r="F143" s="56" t="str">
        <x:v>2F</x:v>
      </x:c>
      <x:c r="G143" s="56" t="str">
        <x:v>2F</x:v>
      </x:c>
      <x:c r="H143" s="56" t="str">
        <x:v>2F</x:v>
      </x:c>
      <x:c r="I143" s="56" t="str">
        <x:v>仮眠</x:v>
      </x:c>
      <x:c r="J143" s="56" t="str">
        <x:v>仮眠</x:v>
      </x:c>
      <x:c r="K143" s="56" t="str">
        <x:v>仮眠</x:v>
      </x:c>
      <x:c r="L143" s="56" t="str">
        <x:v>仮眠</x:v>
      </x:c>
      <x:c r="M143" s="56" t="str">
        <x:v>2F</x:v>
      </x:c>
      <x:c r="N143" s="56" t="str">
        <x:v>2F</x:v>
      </x:c>
      <x:c r="O143" s="56" t="str">
        <x:v>2F</x:v>
      </x:c>
      <x:c r="P143" s="56" t="str">
        <x:v>2F</x:v>
      </x:c>
      <x:c r="Q143" s="56" t="str">
        <x:v>2F</x:v>
      </x:c>
      <x:c r="R143" s="56" t="str">
        <x:v>2F</x:v>
      </x:c>
      <x:c r="S143" s="56" t="str">
        <x:v>2F</x:v>
      </x:c>
      <x:c r="T143" s="56" t="str">
        <x:v>2F</x:v>
      </x:c>
      <x:c r="U143" s="56" t="str">
        <x:v>2F</x:v>
      </x:c>
      <x:c r="V143" s="56" t="str">
        <x:v>2F</x:v>
      </x:c>
      <x:c r="W143" s="56" t="str">
        <x:f>IF(INDEX('週間仮シフト'!J$7:J$78,MATCH(A143,'週間仮シフト'!$A$7:$A$78,0))="夜","一致","不一致")</x:f>
        <x:v>一致</x:v>
      </x:c>
    </x:row>
    <x:row r="144" ht="26" customHeight="1">
      <x:c r="A144" s="56" t="str">
        <x:v>3F-04</x:v>
      </x:c>
      <x:c r="B144" s="56" t="str">
        <x:v>3F</x:v>
      </x:c>
      <x:c r="C144" s="56" t="str">
        <x:v>3F</x:v>
      </x:c>
      <x:c r="D144" s="56" t="str">
        <x:v>3F</x:v>
      </x:c>
      <x:c r="E144" s="56" t="str">
        <x:v>3F</x:v>
      </x:c>
      <x:c r="F144" s="56" t="str">
        <x:v>3F</x:v>
      </x:c>
      <x:c r="G144" s="56" t="str">
        <x:v>3F</x:v>
      </x:c>
      <x:c r="H144" s="56" t="str">
        <x:v>3F</x:v>
      </x:c>
      <x:c r="I144" s="56" t="str">
        <x:v>3F</x:v>
      </x:c>
      <x:c r="J144" s="56" t="str">
        <x:v>3F</x:v>
      </x:c>
      <x:c r="K144" s="56" t="str">
        <x:v>仮眠</x:v>
      </x:c>
      <x:c r="L144" s="56" t="str">
        <x:v>仮眠</x:v>
      </x:c>
      <x:c r="M144" s="56" t="str">
        <x:v>仮眠</x:v>
      </x:c>
      <x:c r="N144" s="56" t="str">
        <x:v>仮眠</x:v>
      </x:c>
      <x:c r="O144" s="56" t="str">
        <x:v>3F</x:v>
      </x:c>
      <x:c r="P144" s="56" t="str">
        <x:v>3F</x:v>
      </x:c>
      <x:c r="Q144" s="56" t="str">
        <x:v>3F</x:v>
      </x:c>
      <x:c r="R144" s="56" t="str">
        <x:v>3F</x:v>
      </x:c>
      <x:c r="S144" s="56" t="str">
        <x:v>3F</x:v>
      </x:c>
      <x:c r="T144" s="56" t="str">
        <x:v>3F</x:v>
      </x:c>
      <x:c r="U144" s="56" t="str">
        <x:v>3F</x:v>
      </x:c>
      <x:c r="V144" s="56" t="str">
        <x:v>3F</x:v>
      </x:c>
      <x:c r="W144" s="56" t="str">
        <x:f>IF(INDEX('週間仮シフト'!J$7:J$78,MATCH(A144,'週間仮シフト'!$A$7:$A$78,0))="夜","一致","不一致")</x:f>
        <x:v>一致</x:v>
      </x:c>
    </x:row>
    <x:row r="145" ht="26" customHeight="1">
      <x:c r="A145" s="56" t="str">
        <x:v>3F-05</x:v>
      </x:c>
      <x:c r="B145" s="56" t="str">
        <x:v>3F</x:v>
      </x:c>
      <x:c r="C145" s="56" t="str">
        <x:v>3F</x:v>
      </x:c>
      <x:c r="D145" s="56" t="str">
        <x:v>3F</x:v>
      </x:c>
      <x:c r="E145" s="56" t="str">
        <x:v>3F</x:v>
      </x:c>
      <x:c r="F145" s="56" t="str">
        <x:v>3F</x:v>
      </x:c>
      <x:c r="G145" s="56" t="str">
        <x:v>3F</x:v>
      </x:c>
      <x:c r="H145" s="56" t="str">
        <x:v>3F</x:v>
      </x:c>
      <x:c r="I145" s="56" t="str">
        <x:v>3F</x:v>
      </x:c>
      <x:c r="J145" s="56" t="str">
        <x:v>3F</x:v>
      </x:c>
      <x:c r="K145" s="56" t="str">
        <x:v>3F</x:v>
      </x:c>
      <x:c r="L145" s="56" t="str">
        <x:v>3F</x:v>
      </x:c>
      <x:c r="M145" s="56" t="str">
        <x:v>仮眠</x:v>
      </x:c>
      <x:c r="N145" s="56" t="str">
        <x:v>仮眠</x:v>
      </x:c>
      <x:c r="O145" s="56" t="str">
        <x:v>仮眠</x:v>
      </x:c>
      <x:c r="P145" s="56" t="str">
        <x:v>仮眠</x:v>
      </x:c>
      <x:c r="Q145" s="56" t="str">
        <x:v>3F</x:v>
      </x:c>
      <x:c r="R145" s="56" t="str">
        <x:v>3F</x:v>
      </x:c>
      <x:c r="S145" s="56" t="str">
        <x:v>3F</x:v>
      </x:c>
      <x:c r="T145" s="56" t="str">
        <x:v>3F</x:v>
      </x:c>
      <x:c r="U145" s="56" t="str">
        <x:v>3F</x:v>
      </x:c>
      <x:c r="V145" s="56" t="str">
        <x:v>3F</x:v>
      </x:c>
      <x:c r="W145" s="56" t="str">
        <x:f>IF(INDEX('週間仮シフト'!J$7:J$78,MATCH(A145,'週間仮シフト'!$A$7:$A$78,0))="夜","一致","不一致")</x:f>
        <x:v>一致</x:v>
      </x:c>
    </x:row>
    <x:row r="146" ht="26" customHeight="1">
      <x:c r="A146" s="56" t="str">
        <x:v>3F-01</x:v>
      </x:c>
      <x:c r="B146" s="56" t="str">
        <x:v>統括</x:v>
      </x:c>
      <x:c r="C146" s="56" t="str">
        <x:v>1F</x:v>
      </x:c>
      <x:c r="D146" s="56" t="str">
        <x:v>1F</x:v>
      </x:c>
      <x:c r="E146" s="56" t="str">
        <x:v>1F</x:v>
      </x:c>
      <x:c r="F146" s="56" t="str">
        <x:v>1F</x:v>
      </x:c>
      <x:c r="G146" s="56" t="str">
        <x:v>2F</x:v>
      </x:c>
      <x:c r="H146" s="56" t="str">
        <x:v>2F</x:v>
      </x:c>
      <x:c r="I146" s="56" t="str">
        <x:v>2F</x:v>
      </x:c>
      <x:c r="J146" s="56" t="str">
        <x:v>2F</x:v>
      </x:c>
      <x:c r="K146" s="56" t="str">
        <x:v>3F</x:v>
      </x:c>
      <x:c r="L146" s="56" t="str">
        <x:v>3F</x:v>
      </x:c>
      <x:c r="M146" s="56" t="str">
        <x:v>3F</x:v>
      </x:c>
      <x:c r="N146" s="56" t="str">
        <x:v>3F</x:v>
      </x:c>
      <x:c r="O146" s="56" t="str">
        <x:v>仮眠</x:v>
      </x:c>
      <x:c r="P146" s="56" t="str">
        <x:v>仮眠</x:v>
      </x:c>
      <x:c r="Q146" s="56" t="str">
        <x:v>仮眠</x:v>
      </x:c>
      <x:c r="R146" s="56" t="str">
        <x:v>仮眠</x:v>
      </x:c>
      <x:c r="S146" s="56" t="str">
        <x:v>統括</x:v>
      </x:c>
      <x:c r="T146" s="56" t="str">
        <x:v>統括</x:v>
      </x:c>
      <x:c r="U146" s="56" t="str">
        <x:v>統括</x:v>
      </x:c>
      <x:c r="V146" s="56" t="str">
        <x:v>統括</x:v>
      </x:c>
      <x:c r="W146" s="56" t="str">
        <x:f>IF(INDEX('週間仮シフト'!J$7:J$78,MATCH(A146,'週間仮シフト'!$A$7:$A$78,0))="統","一致","不一致")</x:f>
        <x:v>一致</x:v>
      </x:c>
    </x:row>
    <x:row r="147" ht="26" customHeight="1">
      <x:c r="A147" s="56" t="str">
        <x:v>3F-02</x:v>
      </x:c>
      <x:c r="B147" s="56" t="str">
        <x:v>統括</x:v>
      </x:c>
      <x:c r="C147" s="56" t="str">
        <x:v>統括</x:v>
      </x:c>
      <x:c r="D147" s="56" t="str">
        <x:v>統括</x:v>
      </x:c>
      <x:c r="E147" s="56" t="str">
        <x:v>統括</x:v>
      </x:c>
      <x:c r="F147" s="56" t="str">
        <x:v>統括</x:v>
      </x:c>
      <x:c r="G147" s="56" t="str">
        <x:v>統括</x:v>
      </x:c>
      <x:c r="H147" s="56" t="str">
        <x:v>統括</x:v>
      </x:c>
      <x:c r="I147" s="56" t="str">
        <x:v>統括</x:v>
      </x:c>
      <x:c r="J147" s="56" t="str">
        <x:v>統括</x:v>
      </x:c>
      <x:c r="K147" s="56" t="str">
        <x:v>統括</x:v>
      </x:c>
      <x:c r="L147" s="56" t="str">
        <x:v>統括</x:v>
      </x:c>
      <x:c r="M147" s="56" t="str">
        <x:v>統括</x:v>
      </x:c>
      <x:c r="N147" s="56" t="str">
        <x:v>統括</x:v>
      </x:c>
      <x:c r="O147" s="56" t="str">
        <x:v>統括</x:v>
      </x:c>
      <x:c r="P147" s="56" t="str">
        <x:v>統括</x:v>
      </x:c>
      <x:c r="Q147" s="56" t="str">
        <x:v>統括</x:v>
      </x:c>
      <x:c r="R147" s="56" t="str">
        <x:v>統括</x:v>
      </x:c>
      <x:c r="S147" s="56" t="str">
        <x:v>仮眠</x:v>
      </x:c>
      <x:c r="T147" s="56" t="str">
        <x:v>仮眠</x:v>
      </x:c>
      <x:c r="U147" s="56" t="str">
        <x:v>仮眠</x:v>
      </x:c>
      <x:c r="V147" s="56" t="str">
        <x:v>仮眠</x:v>
      </x:c>
      <x:c r="W147" s="56" t="str">
        <x:f>IF(INDEX('週間仮シフト'!J$7:J$78,MATCH(A147,'週間仮シフト'!$A$7:$A$78,0))="統","一致","不一致")</x:f>
        <x:v>一致</x:v>
      </x:c>
    </x:row>
    <x:row r="148" ht="26" customHeight="1">
      <x:c r="A148" s="56" t="str">
        <x:v>2F-23</x:v>
      </x:c>
      <x:c r="B148" s="56" t="str">
        <x:v>短時間</x:v>
      </x:c>
      <x:c r="C148" s="56" t="str">
        <x:v>非勤務</x:v>
      </x:c>
      <x:c r="D148" s="56" t="str">
        <x:v>非勤務</x:v>
      </x:c>
      <x:c r="E148" s="56" t="str">
        <x:v>1F</x:v>
      </x:c>
      <x:c r="F148" s="56" t="str">
        <x:v>1F</x:v>
      </x:c>
      <x:c r="G148" s="56" t="str">
        <x:v>1F</x:v>
      </x:c>
      <x:c r="H148" s="56" t="str">
        <x:v>1F</x:v>
      </x:c>
      <x:c r="I148" s="56" t="str">
        <x:v>2F</x:v>
      </x:c>
      <x:c r="J148" s="56" t="str">
        <x:v>2F</x:v>
      </x:c>
      <x:c r="K148" s="56" t="str">
        <x:v>非勤務</x:v>
      </x:c>
      <x:c r="L148" s="56" t="str">
        <x:v>非勤務</x:v>
      </x:c>
      <x:c r="M148" s="56" t="str">
        <x:v>非勤務</x:v>
      </x:c>
      <x:c r="N148" s="56" t="str">
        <x:v>非勤務</x:v>
      </x:c>
      <x:c r="O148" s="56" t="str">
        <x:v>非勤務</x:v>
      </x:c>
      <x:c r="P148" s="56" t="str">
        <x:v>非勤務</x:v>
      </x:c>
      <x:c r="Q148" s="56" t="str">
        <x:v>非勤務</x:v>
      </x:c>
      <x:c r="R148" s="56" t="str">
        <x:v>非勤務</x:v>
      </x:c>
      <x:c r="S148" s="56" t="str">
        <x:v>非勤務</x:v>
      </x:c>
      <x:c r="T148" s="56" t="str">
        <x:v>非勤務</x:v>
      </x:c>
      <x:c r="U148" s="56" t="str">
        <x:v>非勤務</x:v>
      </x:c>
      <x:c r="V148" s="56" t="str">
        <x:v>非勤務</x:v>
      </x:c>
      <x:c r="W148" s="56" t="str">
        <x:f>IF(INDEX('週間仮シフト'!J$7:J$78,MATCH(A148,'週間仮シフト'!$A$7:$A$78,0))="短A","一致","不一致")</x:f>
        <x:v>一致</x:v>
      </x:c>
    </x:row>
    <x:row r="149" ht="26" customHeight="1">
      <x:c r="A149" s="56" t="str">
        <x:v>1F-24</x:v>
      </x:c>
      <x:c r="B149" s="56" t="str">
        <x:v>短時間</x:v>
      </x:c>
      <x:c r="C149" s="56" t="str">
        <x:v>非勤務</x:v>
      </x:c>
      <x:c r="D149" s="56" t="str">
        <x:v>非勤務</x:v>
      </x:c>
      <x:c r="E149" s="56" t="str">
        <x:v>非勤務</x:v>
      </x:c>
      <x:c r="F149" s="56" t="str">
        <x:v>非勤務</x:v>
      </x:c>
      <x:c r="G149" s="56" t="str">
        <x:v>非勤務</x:v>
      </x:c>
      <x:c r="H149" s="56" t="str">
        <x:v>非勤務</x:v>
      </x:c>
      <x:c r="I149" s="56" t="str">
        <x:v>非勤務</x:v>
      </x:c>
      <x:c r="J149" s="56" t="str">
        <x:v>非勤務</x:v>
      </x:c>
      <x:c r="K149" s="56" t="str">
        <x:v>2F</x:v>
      </x:c>
      <x:c r="L149" s="56" t="str">
        <x:v>2F</x:v>
      </x:c>
      <x:c r="M149" s="56" t="str">
        <x:v>3F</x:v>
      </x:c>
      <x:c r="N149" s="56" t="str">
        <x:v>3F</x:v>
      </x:c>
      <x:c r="O149" s="56" t="str">
        <x:v>3F</x:v>
      </x:c>
      <x:c r="P149" s="56" t="str">
        <x:v>3F</x:v>
      </x:c>
      <x:c r="Q149" s="56" t="str">
        <x:v>非勤務</x:v>
      </x:c>
      <x:c r="R149" s="56" t="str">
        <x:v>非勤務</x:v>
      </x:c>
      <x:c r="S149" s="56" t="str">
        <x:v>非勤務</x:v>
      </x:c>
      <x:c r="T149" s="56" t="str">
        <x:v>非勤務</x:v>
      </x:c>
      <x:c r="U149" s="56" t="str">
        <x:v>非勤務</x:v>
      </x:c>
      <x:c r="V149" s="56" t="str">
        <x:v>非勤務</x:v>
      </x:c>
      <x:c r="W149" s="56" t="str">
        <x:f>IF(INDEX('週間仮シフト'!K$7:K$78,MATCH(A149,'週間仮シフト'!$A$7:$A$78,0))="短B","一致","不一致")</x:f>
        <x:v>一致</x:v>
      </x:c>
    </x:row>
    <x:row r="150" ht="26" customHeight="1">
      <x:c r="A150" s="56"/>
      <x:c r="B150" s="56"/>
      <x:c r="C150" s="56"/>
      <x:c r="D150" s="56"/>
      <x:c r="E150" s="56"/>
      <x:c r="F150" s="56"/>
      <x:c r="G150" s="56"/>
      <x:c r="H150" s="56"/>
      <x:c r="I150" s="56"/>
      <x:c r="J150" s="56"/>
      <x:c r="K150" s="56"/>
      <x:c r="L150" s="56"/>
      <x:c r="M150" s="56"/>
      <x:c r="N150" s="56"/>
      <x:c r="O150" s="56"/>
      <x:c r="P150" s="56"/>
      <x:c r="Q150" s="56"/>
      <x:c r="R150" s="56"/>
      <x:c r="S150" s="56"/>
      <x:c r="T150" s="56"/>
      <x:c r="U150" s="56"/>
      <x:c r="V150" s="56"/>
      <x:c r="W150" s="56"/>
    </x:row>
    <x:row r="151" ht="26" customHeight="1">
      <x:c r="A151" s="56" t="str">
        <x:v>1F対応中</x:v>
      </x:c>
      <x:c r="B151" s="56" t="n">
        <x:f>'施設設定'!H17</x:f>
        <x:v>2</x:v>
      </x:c>
      <x:c r="C151" s="56" t="n">
        <x:f>COUNTIFS(C140:C149,"1F",$W140:$W149,"一致")</x:f>
        <x:v>2</x:v>
      </x:c>
      <x:c r="D151" s="56" t="n">
        <x:f>COUNTIFS(D140:D149,"1F",$W140:$W149,"一致")</x:f>
        <x:v>2</x:v>
      </x:c>
      <x:c r="E151" s="56" t="n">
        <x:f>COUNTIFS(E140:E149,"1F",$W140:$W149,"一致")</x:f>
        <x:v>2</x:v>
      </x:c>
      <x:c r="F151" s="56" t="n">
        <x:f>COUNTIFS(F140:F149,"1F",$W140:$W149,"一致")</x:f>
        <x:v>2</x:v>
      </x:c>
      <x:c r="G151" s="56" t="n">
        <x:f>COUNTIFS(G140:G149,"1F",$W140:$W149,"一致")</x:f>
        <x:v>2</x:v>
      </x:c>
      <x:c r="H151" s="56" t="n">
        <x:f>COUNTIFS(H140:H149,"1F",$W140:$W149,"一致")</x:f>
        <x:v>2</x:v>
      </x:c>
      <x:c r="I151" s="56" t="n">
        <x:f>COUNTIFS(I140:I149,"1F",$W140:$W149,"一致")</x:f>
        <x:v>2</x:v>
      </x:c>
      <x:c r="J151" s="56" t="n">
        <x:f>COUNTIFS(J140:J149,"1F",$W140:$W149,"一致")</x:f>
        <x:v>2</x:v>
      </x:c>
      <x:c r="K151" s="56" t="n">
        <x:f>COUNTIFS(K140:K149,"1F",$W140:$W149,"一致")</x:f>
        <x:v>2</x:v>
      </x:c>
      <x:c r="L151" s="56" t="n">
        <x:f>COUNTIFS(L140:L149,"1F",$W140:$W149,"一致")</x:f>
        <x:v>2</x:v>
      </x:c>
      <x:c r="M151" s="56" t="n">
        <x:f>COUNTIFS(M140:M149,"1F",$W140:$W149,"一致")</x:f>
        <x:v>2</x:v>
      </x:c>
      <x:c r="N151" s="56" t="n">
        <x:f>COUNTIFS(N140:N149,"1F",$W140:$W149,"一致")</x:f>
        <x:v>2</x:v>
      </x:c>
      <x:c r="O151" s="56" t="n">
        <x:f>COUNTIFS(O140:O149,"1F",$W140:$W149,"一致")</x:f>
        <x:v>2</x:v>
      </x:c>
      <x:c r="P151" s="56" t="n">
        <x:f>COUNTIFS(P140:P149,"1F",$W140:$W149,"一致")</x:f>
        <x:v>2</x:v>
      </x:c>
      <x:c r="Q151" s="56" t="n">
        <x:f>COUNTIFS(Q140:Q149,"1F",$W140:$W149,"一致")</x:f>
        <x:v>2</x:v>
      </x:c>
      <x:c r="R151" s="56" t="n">
        <x:f>COUNTIFS(R140:R149,"1F",$W140:$W149,"一致")</x:f>
        <x:v>2</x:v>
      </x:c>
      <x:c r="S151" s="56" t="n">
        <x:f>COUNTIFS(S140:S149,"1F",$W140:$W149,"一致")</x:f>
        <x:v>2</x:v>
      </x:c>
      <x:c r="T151" s="56" t="n">
        <x:f>COUNTIFS(T140:T149,"1F",$W140:$W149,"一致")</x:f>
        <x:v>2</x:v>
      </x:c>
      <x:c r="U151" s="56" t="n">
        <x:f>COUNTIFS(U140:U149,"1F",$W140:$W149,"一致")</x:f>
        <x:v>2</x:v>
      </x:c>
      <x:c r="V151" s="56" t="n">
        <x:f>COUNTIFS(V140:V149,"1F",$W140:$W149,"一致")</x:f>
        <x:v>2</x:v>
      </x:c>
      <x:c r="W151" s="56"/>
    </x:row>
    <x:row r="152" ht="26" customHeight="1">
      <x:c r="A152" s="56" t="str">
        <x:v>2F対応中</x:v>
      </x:c>
      <x:c r="B152" s="56" t="n">
        <x:f>'施設設定'!H18</x:f>
        <x:v>2</x:v>
      </x:c>
      <x:c r="C152" s="56" t="n">
        <x:f>COUNTIFS(C140:C149,"2F",$W140:$W149,"一致")</x:f>
        <x:v>2</x:v>
      </x:c>
      <x:c r="D152" s="56" t="n">
        <x:f>COUNTIFS(D140:D149,"2F",$W140:$W149,"一致")</x:f>
        <x:v>2</x:v>
      </x:c>
      <x:c r="E152" s="56" t="n">
        <x:f>COUNTIFS(E140:E149,"2F",$W140:$W149,"一致")</x:f>
        <x:v>2</x:v>
      </x:c>
      <x:c r="F152" s="56" t="n">
        <x:f>COUNTIFS(F140:F149,"2F",$W140:$W149,"一致")</x:f>
        <x:v>2</x:v>
      </x:c>
      <x:c r="G152" s="56" t="n">
        <x:f>COUNTIFS(G140:G149,"2F",$W140:$W149,"一致")</x:f>
        <x:v>2</x:v>
      </x:c>
      <x:c r="H152" s="56" t="n">
        <x:f>COUNTIFS(H140:H149,"2F",$W140:$W149,"一致")</x:f>
        <x:v>2</x:v>
      </x:c>
      <x:c r="I152" s="56" t="n">
        <x:f>COUNTIFS(I140:I149,"2F",$W140:$W149,"一致")</x:f>
        <x:v>2</x:v>
      </x:c>
      <x:c r="J152" s="56" t="n">
        <x:f>COUNTIFS(J140:J149,"2F",$W140:$W149,"一致")</x:f>
        <x:v>2</x:v>
      </x:c>
      <x:c r="K152" s="56" t="n">
        <x:f>COUNTIFS(K140:K149,"2F",$W140:$W149,"一致")</x:f>
        <x:v>2</x:v>
      </x:c>
      <x:c r="L152" s="56" t="n">
        <x:f>COUNTIFS(L140:L149,"2F",$W140:$W149,"一致")</x:f>
        <x:v>2</x:v>
      </x:c>
      <x:c r="M152" s="56" t="n">
        <x:f>COUNTIFS(M140:M149,"2F",$W140:$W149,"一致")</x:f>
        <x:v>2</x:v>
      </x:c>
      <x:c r="N152" s="56" t="n">
        <x:f>COUNTIFS(N140:N149,"2F",$W140:$W149,"一致")</x:f>
        <x:v>2</x:v>
      </x:c>
      <x:c r="O152" s="56" t="n">
        <x:f>COUNTIFS(O140:O149,"2F",$W140:$W149,"一致")</x:f>
        <x:v>2</x:v>
      </x:c>
      <x:c r="P152" s="56" t="n">
        <x:f>COUNTIFS(P140:P149,"2F",$W140:$W149,"一致")</x:f>
        <x:v>2</x:v>
      </x:c>
      <x:c r="Q152" s="56" t="n">
        <x:f>COUNTIFS(Q140:Q149,"2F",$W140:$W149,"一致")</x:f>
        <x:v>2</x:v>
      </x:c>
      <x:c r="R152" s="56" t="n">
        <x:f>COUNTIFS(R140:R149,"2F",$W140:$W149,"一致")</x:f>
        <x:v>2</x:v>
      </x:c>
      <x:c r="S152" s="56" t="n">
        <x:f>COUNTIFS(S140:S149,"2F",$W140:$W149,"一致")</x:f>
        <x:v>2</x:v>
      </x:c>
      <x:c r="T152" s="56" t="n">
        <x:f>COUNTIFS(T140:T149,"2F",$W140:$W149,"一致")</x:f>
        <x:v>2</x:v>
      </x:c>
      <x:c r="U152" s="56" t="n">
        <x:f>COUNTIFS(U140:U149,"2F",$W140:$W149,"一致")</x:f>
        <x:v>2</x:v>
      </x:c>
      <x:c r="V152" s="56" t="n">
        <x:f>COUNTIFS(V140:V149,"2F",$W140:$W149,"一致")</x:f>
        <x:v>2</x:v>
      </x:c>
      <x:c r="W152" s="56"/>
    </x:row>
    <x:row r="153" ht="26" customHeight="1">
      <x:c r="A153" s="56" t="str">
        <x:v>3F対応中</x:v>
      </x:c>
      <x:c r="B153" s="56" t="n">
        <x:f>'施設設定'!H19</x:f>
        <x:v>2</x:v>
      </x:c>
      <x:c r="C153" s="56" t="n">
        <x:f>COUNTIFS(C140:C149,"3F",$W140:$W149,"一致")</x:f>
        <x:v>2</x:v>
      </x:c>
      <x:c r="D153" s="56" t="n">
        <x:f>COUNTIFS(D140:D149,"3F",$W140:$W149,"一致")</x:f>
        <x:v>2</x:v>
      </x:c>
      <x:c r="E153" s="56" t="n">
        <x:f>COUNTIFS(E140:E149,"3F",$W140:$W149,"一致")</x:f>
        <x:v>2</x:v>
      </x:c>
      <x:c r="F153" s="56" t="n">
        <x:f>COUNTIFS(F140:F149,"3F",$W140:$W149,"一致")</x:f>
        <x:v>2</x:v>
      </x:c>
      <x:c r="G153" s="56" t="n">
        <x:f>COUNTIFS(G140:G149,"3F",$W140:$W149,"一致")</x:f>
        <x:v>2</x:v>
      </x:c>
      <x:c r="H153" s="56" t="n">
        <x:f>COUNTIFS(H140:H149,"3F",$W140:$W149,"一致")</x:f>
        <x:v>2</x:v>
      </x:c>
      <x:c r="I153" s="56" t="n">
        <x:f>COUNTIFS(I140:I149,"3F",$W140:$W149,"一致")</x:f>
        <x:v>2</x:v>
      </x:c>
      <x:c r="J153" s="56" t="n">
        <x:f>COUNTIFS(J140:J149,"3F",$W140:$W149,"一致")</x:f>
        <x:v>2</x:v>
      </x:c>
      <x:c r="K153" s="56" t="n">
        <x:f>COUNTIFS(K140:K149,"3F",$W140:$W149,"一致")</x:f>
        <x:v>2</x:v>
      </x:c>
      <x:c r="L153" s="56" t="n">
        <x:f>COUNTIFS(L140:L149,"3F",$W140:$W149,"一致")</x:f>
        <x:v>2</x:v>
      </x:c>
      <x:c r="M153" s="56" t="n">
        <x:f>COUNTIFS(M140:M149,"3F",$W140:$W149,"一致")</x:f>
        <x:v>2</x:v>
      </x:c>
      <x:c r="N153" s="56" t="n">
        <x:f>COUNTIFS(N140:N149,"3F",$W140:$W149,"一致")</x:f>
        <x:v>2</x:v>
      </x:c>
      <x:c r="O153" s="56" t="n">
        <x:f>COUNTIFS(O140:O149,"3F",$W140:$W149,"一致")</x:f>
        <x:v>2</x:v>
      </x:c>
      <x:c r="P153" s="56" t="n">
        <x:f>COUNTIFS(P140:P149,"3F",$W140:$W149,"一致")</x:f>
        <x:v>2</x:v>
      </x:c>
      <x:c r="Q153" s="56" t="n">
        <x:f>COUNTIFS(Q140:Q149,"3F",$W140:$W149,"一致")</x:f>
        <x:v>2</x:v>
      </x:c>
      <x:c r="R153" s="56" t="n">
        <x:f>COUNTIFS(R140:R149,"3F",$W140:$W149,"一致")</x:f>
        <x:v>2</x:v>
      </x:c>
      <x:c r="S153" s="56" t="n">
        <x:f>COUNTIFS(S140:S149,"3F",$W140:$W149,"一致")</x:f>
        <x:v>2</x:v>
      </x:c>
      <x:c r="T153" s="56" t="n">
        <x:f>COUNTIFS(T140:T149,"3F",$W140:$W149,"一致")</x:f>
        <x:v>2</x:v>
      </x:c>
      <x:c r="U153" s="56" t="n">
        <x:f>COUNTIFS(U140:U149,"3F",$W140:$W149,"一致")</x:f>
        <x:v>2</x:v>
      </x:c>
      <x:c r="V153" s="56" t="n">
        <x:f>COUNTIFS(V140:V149,"3F",$W140:$W149,"一致")</x:f>
        <x:v>2</x:v>
      </x:c>
      <x:c r="W153" s="56"/>
    </x:row>
    <x:row r="154" ht="26" customHeight="1">
      <x:c r="A154" s="56" t="str">
        <x:v>自由な統括</x:v>
      </x:c>
      <x:c r="B154" s="56" t="n">
        <x:f>'施設設定'!B12</x:f>
        <x:v>1</x:v>
      </x:c>
      <x:c r="C154" s="56" t="n">
        <x:f>COUNTIFS(C140:C149,"統括",$W140:$W149,"一致")</x:f>
        <x:v>1</x:v>
      </x:c>
      <x:c r="D154" s="56" t="n">
        <x:f>COUNTIFS(D140:D149,"統括",$W140:$W149,"一致")</x:f>
        <x:v>1</x:v>
      </x:c>
      <x:c r="E154" s="56" t="n">
        <x:f>COUNTIFS(E140:E149,"統括",$W140:$W149,"一致")</x:f>
        <x:v>1</x:v>
      </x:c>
      <x:c r="F154" s="56" t="n">
        <x:f>COUNTIFS(F140:F149,"統括",$W140:$W149,"一致")</x:f>
        <x:v>1</x:v>
      </x:c>
      <x:c r="G154" s="56" t="n">
        <x:f>COUNTIFS(G140:G149,"統括",$W140:$W149,"一致")</x:f>
        <x:v>1</x:v>
      </x:c>
      <x:c r="H154" s="56" t="n">
        <x:f>COUNTIFS(H140:H149,"統括",$W140:$W149,"一致")</x:f>
        <x:v>1</x:v>
      </x:c>
      <x:c r="I154" s="56" t="n">
        <x:f>COUNTIFS(I140:I149,"統括",$W140:$W149,"一致")</x:f>
        <x:v>1</x:v>
      </x:c>
      <x:c r="J154" s="56" t="n">
        <x:f>COUNTIFS(J140:J149,"統括",$W140:$W149,"一致")</x:f>
        <x:v>1</x:v>
      </x:c>
      <x:c r="K154" s="56" t="n">
        <x:f>COUNTIFS(K140:K149,"統括",$W140:$W149,"一致")</x:f>
        <x:v>1</x:v>
      </x:c>
      <x:c r="L154" s="56" t="n">
        <x:f>COUNTIFS(L140:L149,"統括",$W140:$W149,"一致")</x:f>
        <x:v>1</x:v>
      </x:c>
      <x:c r="M154" s="56" t="n">
        <x:f>COUNTIFS(M140:M149,"統括",$W140:$W149,"一致")</x:f>
        <x:v>1</x:v>
      </x:c>
      <x:c r="N154" s="56" t="n">
        <x:f>COUNTIFS(N140:N149,"統括",$W140:$W149,"一致")</x:f>
        <x:v>1</x:v>
      </x:c>
      <x:c r="O154" s="56" t="n">
        <x:f>COUNTIFS(O140:O149,"統括",$W140:$W149,"一致")</x:f>
        <x:v>1</x:v>
      </x:c>
      <x:c r="P154" s="56" t="n">
        <x:f>COUNTIFS(P140:P149,"統括",$W140:$W149,"一致")</x:f>
        <x:v>1</x:v>
      </x:c>
      <x:c r="Q154" s="56" t="n">
        <x:f>COUNTIFS(Q140:Q149,"統括",$W140:$W149,"一致")</x:f>
        <x:v>1</x:v>
      </x:c>
      <x:c r="R154" s="56" t="n">
        <x:f>COUNTIFS(R140:R149,"統括",$W140:$W149,"一致")</x:f>
        <x:v>1</x:v>
      </x:c>
      <x:c r="S154" s="56" t="n">
        <x:f>COUNTIFS(S140:S149,"統括",$W140:$W149,"一致")</x:f>
        <x:v>1</x:v>
      </x:c>
      <x:c r="T154" s="56" t="n">
        <x:f>COUNTIFS(T140:T149,"統括",$W140:$W149,"一致")</x:f>
        <x:v>1</x:v>
      </x:c>
      <x:c r="U154" s="56" t="n">
        <x:f>COUNTIFS(U140:U149,"統括",$W140:$W149,"一致")</x:f>
        <x:v>1</x:v>
      </x:c>
      <x:c r="V154" s="56" t="n">
        <x:f>COUNTIFS(V140:V149,"統括",$W140:$W149,"一致")</x:f>
        <x:v>1</x:v>
      </x:c>
      <x:c r="W154" s="56"/>
    </x:row>
    <x:row r="155" ht="26" customHeight="1">
      <x:c r="A155" s="56" t="str">
        <x:v>配置判定</x:v>
      </x:c>
      <x:c r="B155" s="56"/>
      <x:c r="C155" s="56" t="str">
        <x:f>IF(AND(C151&gt;=$B151,C152&gt;=$B152,C153&gt;=$B153,C154&gt;=$B154),"充足","不足")</x:f>
        <x:v>充足</x:v>
      </x:c>
      <x:c r="D155" s="56" t="str">
        <x:f>IF(AND(D151&gt;=$B151,D152&gt;=$B152,D153&gt;=$B153,D154&gt;=$B154),"充足","不足")</x:f>
        <x:v>充足</x:v>
      </x:c>
      <x:c r="E155" s="56" t="str">
        <x:f>IF(AND(E151&gt;=$B151,E152&gt;=$B152,E153&gt;=$B153,E154&gt;=$B154),"充足","不足")</x:f>
        <x:v>充足</x:v>
      </x:c>
      <x:c r="F155" s="56" t="str">
        <x:f>IF(AND(F151&gt;=$B151,F152&gt;=$B152,F153&gt;=$B153,F154&gt;=$B154),"充足","不足")</x:f>
        <x:v>充足</x:v>
      </x:c>
      <x:c r="G155" s="56" t="str">
        <x:f>IF(AND(G151&gt;=$B151,G152&gt;=$B152,G153&gt;=$B153,G154&gt;=$B154),"充足","不足")</x:f>
        <x:v>充足</x:v>
      </x:c>
      <x:c r="H155" s="56" t="str">
        <x:f>IF(AND(H151&gt;=$B151,H152&gt;=$B152,H153&gt;=$B153,H154&gt;=$B154),"充足","不足")</x:f>
        <x:v>充足</x:v>
      </x:c>
      <x:c r="I155" s="56" t="str">
        <x:f>IF(AND(I151&gt;=$B151,I152&gt;=$B152,I153&gt;=$B153,I154&gt;=$B154),"充足","不足")</x:f>
        <x:v>充足</x:v>
      </x:c>
      <x:c r="J155" s="56" t="str">
        <x:f>IF(AND(J151&gt;=$B151,J152&gt;=$B152,J153&gt;=$B153,J154&gt;=$B154),"充足","不足")</x:f>
        <x:v>充足</x:v>
      </x:c>
      <x:c r="K155" s="56" t="str">
        <x:f>IF(AND(K151&gt;=$B151,K152&gt;=$B152,K153&gt;=$B153,K154&gt;=$B154),"充足","不足")</x:f>
        <x:v>充足</x:v>
      </x:c>
      <x:c r="L155" s="56" t="str">
        <x:f>IF(AND(L151&gt;=$B151,L152&gt;=$B152,L153&gt;=$B153,L154&gt;=$B154),"充足","不足")</x:f>
        <x:v>充足</x:v>
      </x:c>
      <x:c r="M155" s="56" t="str">
        <x:f>IF(AND(M151&gt;=$B151,M152&gt;=$B152,M153&gt;=$B153,M154&gt;=$B154),"充足","不足")</x:f>
        <x:v>充足</x:v>
      </x:c>
      <x:c r="N155" s="56" t="str">
        <x:f>IF(AND(N151&gt;=$B151,N152&gt;=$B152,N153&gt;=$B153,N154&gt;=$B154),"充足","不足")</x:f>
        <x:v>充足</x:v>
      </x:c>
      <x:c r="O155" s="56" t="str">
        <x:f>IF(AND(O151&gt;=$B151,O152&gt;=$B152,O153&gt;=$B153,O154&gt;=$B154),"充足","不足")</x:f>
        <x:v>充足</x:v>
      </x:c>
      <x:c r="P155" s="56" t="str">
        <x:f>IF(AND(P151&gt;=$B151,P152&gt;=$B152,P153&gt;=$B153,P154&gt;=$B154),"充足","不足")</x:f>
        <x:v>充足</x:v>
      </x:c>
      <x:c r="Q155" s="56" t="str">
        <x:f>IF(AND(Q151&gt;=$B151,Q152&gt;=$B152,Q153&gt;=$B153,Q154&gt;=$B154),"充足","不足")</x:f>
        <x:v>充足</x:v>
      </x:c>
      <x:c r="R155" s="56" t="str">
        <x:f>IF(AND(R151&gt;=$B151,R152&gt;=$B152,R153&gt;=$B153,R154&gt;=$B154),"充足","不足")</x:f>
        <x:v>充足</x:v>
      </x:c>
      <x:c r="S155" s="56" t="str">
        <x:f>IF(AND(S151&gt;=$B151,S152&gt;=$B152,S153&gt;=$B153,S154&gt;=$B154),"充足","不足")</x:f>
        <x:v>充足</x:v>
      </x:c>
      <x:c r="T155" s="56" t="str">
        <x:f>IF(AND(T151&gt;=$B151,T152&gt;=$B152,T153&gt;=$B153,T154&gt;=$B154),"充足","不足")</x:f>
        <x:v>充足</x:v>
      </x:c>
      <x:c r="U155" s="56" t="str">
        <x:f>IF(AND(U151&gt;=$B151,U152&gt;=$B152,U153&gt;=$B153,U154&gt;=$B154),"充足","不足")</x:f>
        <x:v>充足</x:v>
      </x:c>
      <x:c r="V155" s="56" t="str">
        <x:f>IF(AND(V151&gt;=$B151,V152&gt;=$B152,V153&gt;=$B153,V154&gt;=$B154),"充足","不足")</x:f>
        <x:v>充足</x:v>
      </x:c>
      <x:c r="W155" s="56"/>
    </x:row>
    <x:row r="156" ht="26" customHeight="1">
      <x:c r="A156" s="56"/>
      <x:c r="B156" s="56"/>
      <x:c r="C156" s="56"/>
      <x:c r="D156" s="56"/>
      <x:c r="E156" s="56"/>
      <x:c r="F156" s="56"/>
      <x:c r="G156" s="56"/>
      <x:c r="H156" s="56"/>
      <x:c r="I156" s="56"/>
      <x:c r="J156" s="56"/>
      <x:c r="K156" s="56"/>
      <x:c r="L156" s="56"/>
      <x:c r="M156" s="56"/>
      <x:c r="N156" s="56"/>
      <x:c r="O156" s="56"/>
      <x:c r="P156" s="56"/>
      <x:c r="Q156" s="56"/>
      <x:c r="R156" s="56"/>
      <x:c r="S156" s="56"/>
      <x:c r="T156" s="56"/>
      <x:c r="U156" s="56"/>
      <x:c r="V156" s="56"/>
      <x:c r="W156" s="56"/>
    </x:row>
    <x:row r="157" ht="26" customHeight="1">
      <x:c r="A157" s="56"/>
      <x:c r="B157" s="56"/>
      <x:c r="C157" s="56"/>
      <x:c r="D157" s="56"/>
      <x:c r="E157" s="56"/>
      <x:c r="F157" s="56"/>
      <x:c r="G157" s="56"/>
      <x:c r="H157" s="56"/>
      <x:c r="I157" s="56"/>
      <x:c r="J157" s="56"/>
      <x:c r="K157" s="56"/>
      <x:c r="L157" s="56"/>
      <x:c r="M157" s="56"/>
      <x:c r="N157" s="56"/>
      <x:c r="O157" s="56"/>
      <x:c r="P157" s="56"/>
      <x:c r="Q157" s="56"/>
      <x:c r="R157" s="56"/>
      <x:c r="S157" s="56"/>
      <x:c r="T157" s="56"/>
      <x:c r="U157" s="56"/>
      <x:c r="V157" s="56"/>
      <x:c r="W157" s="56"/>
    </x:row>
    <x:row r="158" ht="26" customHeight="1">
      <x:c r="A158" s="56"/>
      <x:c r="B158" s="56"/>
      <x:c r="C158" s="56"/>
      <x:c r="D158" s="56"/>
      <x:c r="E158" s="56"/>
      <x:c r="F158" s="56"/>
      <x:c r="G158" s="56"/>
      <x:c r="H158" s="56"/>
      <x:c r="I158" s="56"/>
      <x:c r="J158" s="56"/>
      <x:c r="K158" s="56"/>
      <x:c r="L158" s="56"/>
      <x:c r="M158" s="56"/>
      <x:c r="N158" s="56"/>
      <x:c r="O158" s="56"/>
      <x:c r="P158" s="56"/>
      <x:c r="Q158" s="56"/>
      <x:c r="R158" s="56"/>
      <x:c r="S158" s="56"/>
      <x:c r="T158" s="56"/>
      <x:c r="U158" s="56"/>
      <x:c r="V158" s="56"/>
      <x:c r="W158" s="56"/>
    </x:row>
    <x:row r="159" ht="26" customHeight="1">
      <x:c r="A159" s="56"/>
      <x:c r="B159" s="56"/>
      <x:c r="C159" s="56"/>
      <x:c r="D159" s="56"/>
      <x:c r="E159" s="56"/>
      <x:c r="F159" s="56"/>
      <x:c r="G159" s="56"/>
      <x:c r="H159" s="56"/>
      <x:c r="I159" s="56"/>
      <x:c r="J159" s="56"/>
      <x:c r="K159" s="56"/>
      <x:c r="L159" s="56"/>
      <x:c r="M159" s="56"/>
      <x:c r="N159" s="56"/>
      <x:c r="O159" s="56"/>
      <x:c r="P159" s="56"/>
      <x:c r="Q159" s="56"/>
      <x:c r="R159" s="56"/>
      <x:c r="S159" s="56"/>
      <x:c r="T159" s="56"/>
      <x:c r="U159" s="56"/>
      <x:c r="V159" s="56"/>
      <x:c r="W159" s="56"/>
    </x:row>
    <x:row r="160" ht="26" customHeight="1">
      <x:c r="A160" s="56"/>
      <x:c r="B160" s="56"/>
      <x:c r="C160" s="56"/>
      <x:c r="D160" s="56"/>
      <x:c r="E160" s="56"/>
      <x:c r="F160" s="56"/>
      <x:c r="G160" s="56"/>
      <x:c r="H160" s="56"/>
      <x:c r="I160" s="56"/>
      <x:c r="J160" s="56"/>
      <x:c r="K160" s="56"/>
      <x:c r="L160" s="56"/>
      <x:c r="M160" s="56"/>
      <x:c r="N160" s="56"/>
      <x:c r="O160" s="56"/>
      <x:c r="P160" s="56"/>
      <x:c r="Q160" s="56"/>
      <x:c r="R160" s="56"/>
      <x:c r="S160" s="56"/>
      <x:c r="T160" s="56"/>
      <x:c r="U160" s="56"/>
      <x:c r="V160" s="56"/>
      <x:c r="W160" s="56"/>
    </x:row>
    <x:row r="161" ht="26" customHeight="1">
      <x:c r="A161" s="56"/>
      <x:c r="B161" s="56"/>
      <x:c r="C161" s="56"/>
      <x:c r="D161" s="56"/>
      <x:c r="E161" s="56"/>
      <x:c r="F161" s="56"/>
      <x:c r="G161" s="56"/>
      <x:c r="H161" s="56"/>
      <x:c r="I161" s="56"/>
      <x:c r="J161" s="56"/>
      <x:c r="K161" s="56"/>
      <x:c r="L161" s="56"/>
      <x:c r="M161" s="56"/>
      <x:c r="N161" s="56"/>
      <x:c r="O161" s="56"/>
      <x:c r="P161" s="56"/>
      <x:c r="Q161" s="56"/>
      <x:c r="R161" s="56"/>
      <x:c r="S161" s="56"/>
      <x:c r="T161" s="56"/>
      <x:c r="U161" s="56"/>
      <x:c r="V161" s="56"/>
      <x:c r="W161" s="56"/>
    </x:row>
  </x:sheetData>
  <x:conditionalFormatting sqref="C23:V23">
    <x:cfRule type="expression" dxfId="21" priority="1">
      <x:formula>C23="不足"</x:formula>
    </x:cfRule>
  </x:conditionalFormatting>
  <x:conditionalFormatting sqref="W8:W17">
    <x:cfRule type="expression" dxfId="22" priority="2">
      <x:formula>W8="不一致"</x:formula>
    </x:cfRule>
  </x:conditionalFormatting>
  <x:conditionalFormatting sqref="C8:V17">
    <x:cfRule type="expression" dxfId="23" priority="3">
      <x:formula>C8="仮眠"</x:formula>
    </x:cfRule>
    <x:cfRule type="expression" dxfId="24" priority="4">
      <x:formula>C8="統括"</x:formula>
    </x:cfRule>
    <x:cfRule type="expression" dxfId="25" priority="5">
      <x:formula>C8="非勤務"</x:formula>
    </x:cfRule>
  </x:conditionalFormatting>
  <x:conditionalFormatting sqref="C45:V45">
    <x:cfRule type="expression" dxfId="26" priority="6">
      <x:formula>C45="不足"</x:formula>
    </x:cfRule>
  </x:conditionalFormatting>
  <x:conditionalFormatting sqref="W30:W39">
    <x:cfRule type="expression" dxfId="27" priority="7">
      <x:formula>W30="不一致"</x:formula>
    </x:cfRule>
  </x:conditionalFormatting>
  <x:conditionalFormatting sqref="C30:V39">
    <x:cfRule type="expression" dxfId="28" priority="8">
      <x:formula>C30="仮眠"</x:formula>
    </x:cfRule>
    <x:cfRule type="expression" dxfId="29" priority="9">
      <x:formula>C30="統括"</x:formula>
    </x:cfRule>
    <x:cfRule type="expression" dxfId="30" priority="10">
      <x:formula>C30="非勤務"</x:formula>
    </x:cfRule>
  </x:conditionalFormatting>
  <x:conditionalFormatting sqref="C67:V67">
    <x:cfRule type="expression" dxfId="31" priority="11">
      <x:formula>C67="不足"</x:formula>
    </x:cfRule>
  </x:conditionalFormatting>
  <x:conditionalFormatting sqref="W52:W61">
    <x:cfRule type="expression" dxfId="32" priority="12">
      <x:formula>W52="不一致"</x:formula>
    </x:cfRule>
  </x:conditionalFormatting>
  <x:conditionalFormatting sqref="C52:V61">
    <x:cfRule type="expression" dxfId="33" priority="13">
      <x:formula>C52="仮眠"</x:formula>
    </x:cfRule>
    <x:cfRule type="expression" dxfId="34" priority="14">
      <x:formula>C52="統括"</x:formula>
    </x:cfRule>
    <x:cfRule type="expression" dxfId="35" priority="15">
      <x:formula>C52="非勤務"</x:formula>
    </x:cfRule>
  </x:conditionalFormatting>
  <x:conditionalFormatting sqref="C89:V89">
    <x:cfRule type="expression" dxfId="36" priority="16">
      <x:formula>C89="不足"</x:formula>
    </x:cfRule>
  </x:conditionalFormatting>
  <x:conditionalFormatting sqref="W74:W83">
    <x:cfRule type="expression" dxfId="37" priority="17">
      <x:formula>W74="不一致"</x:formula>
    </x:cfRule>
  </x:conditionalFormatting>
  <x:conditionalFormatting sqref="C74:V83">
    <x:cfRule type="expression" dxfId="38" priority="18">
      <x:formula>C74="仮眠"</x:formula>
    </x:cfRule>
    <x:cfRule type="expression" dxfId="39" priority="19">
      <x:formula>C74="統括"</x:formula>
    </x:cfRule>
    <x:cfRule type="expression" dxfId="40" priority="20">
      <x:formula>C74="非勤務"</x:formula>
    </x:cfRule>
  </x:conditionalFormatting>
  <x:conditionalFormatting sqref="C111:V111">
    <x:cfRule type="expression" dxfId="41" priority="21">
      <x:formula>C111="不足"</x:formula>
    </x:cfRule>
  </x:conditionalFormatting>
  <x:conditionalFormatting sqref="W96:W105">
    <x:cfRule type="expression" dxfId="42" priority="22">
      <x:formula>W96="不一致"</x:formula>
    </x:cfRule>
  </x:conditionalFormatting>
  <x:conditionalFormatting sqref="C96:V105">
    <x:cfRule type="expression" dxfId="43" priority="23">
      <x:formula>C96="仮眠"</x:formula>
    </x:cfRule>
    <x:cfRule type="expression" dxfId="44" priority="24">
      <x:formula>C96="統括"</x:formula>
    </x:cfRule>
    <x:cfRule type="expression" dxfId="45" priority="25">
      <x:formula>C96="非勤務"</x:formula>
    </x:cfRule>
  </x:conditionalFormatting>
  <x:conditionalFormatting sqref="C133:V133">
    <x:cfRule type="expression" dxfId="46" priority="26">
      <x:formula>C133="不足"</x:formula>
    </x:cfRule>
  </x:conditionalFormatting>
  <x:conditionalFormatting sqref="W118:W127">
    <x:cfRule type="expression" dxfId="47" priority="27">
      <x:formula>W118="不一致"</x:formula>
    </x:cfRule>
  </x:conditionalFormatting>
  <x:conditionalFormatting sqref="C118:V127">
    <x:cfRule type="expression" dxfId="48" priority="28">
      <x:formula>C118="仮眠"</x:formula>
    </x:cfRule>
    <x:cfRule type="expression" dxfId="49" priority="29">
      <x:formula>C118="統括"</x:formula>
    </x:cfRule>
    <x:cfRule type="expression" dxfId="50" priority="30">
      <x:formula>C118="非勤務"</x:formula>
    </x:cfRule>
  </x:conditionalFormatting>
  <x:conditionalFormatting sqref="C155:V155">
    <x:cfRule type="expression" dxfId="51" priority="31">
      <x:formula>C155="不足"</x:formula>
    </x:cfRule>
  </x:conditionalFormatting>
  <x:conditionalFormatting sqref="W140:W149">
    <x:cfRule type="expression" dxfId="52" priority="32">
      <x:formula>W140="不一致"</x:formula>
    </x:cfRule>
  </x:conditionalFormatting>
  <x:conditionalFormatting sqref="C140:V149">
    <x:cfRule type="expression" dxfId="53" priority="33">
      <x:formula>C140="仮眠"</x:formula>
    </x:cfRule>
    <x:cfRule type="expression" dxfId="54" priority="34">
      <x:formula>C140="統括"</x:formula>
    </x:cfRule>
    <x:cfRule type="expression" dxfId="55" priority="35">
      <x:formula>C140="非勤務"</x:formula>
    </x:cfRule>
  </x:conditionalFormatting>
  <x:pageMargins left="0.7" right="0.7" top="0.75" bottom="0.75" header="0.3" footer="0.3"/>
</x:worksheet>
</file>